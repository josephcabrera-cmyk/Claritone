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<sst xmlns="http://schemas.openxmlformats.org/spreadsheetml/2006/main" count="187" uniqueCount="153">
  <si>
    <t>Category</t>
  </si>
  <si>
    <t>Item</t>
  </si>
  <si>
    <t>Justification</t>
  </si>
  <si>
    <t>Part Number</t>
  </si>
  <si>
    <t>Qty</t>
  </si>
  <si>
    <t>Unit Cost</t>
  </si>
  <si>
    <t>Total Cost</t>
  </si>
  <si>
    <t>Changes &amp; Reasoning</t>
  </si>
  <si>
    <t>Processing</t>
  </si>
  <si>
    <t>MCU</t>
  </si>
  <si>
    <t>Microcontroller for processing sensor data, camera vision (CV)</t>
  </si>
  <si>
    <t>STM32N657X0H3Q</t>
  </si>
  <si>
    <t>CHANGED: Swapped N655 -&gt; N657 for Neural-ART NPU (Required for help with Computer Vision). Also matches our Dev board MCU now.</t>
  </si>
  <si>
    <t>High Speed Crystal (HSE)</t>
  </si>
  <si>
    <t>Master clock for camera module</t>
  </si>
  <si>
    <t>ECS-250-10-33B-CKY-TR3</t>
  </si>
  <si>
    <t>ADDED: Necessary for proper camera operation. UPDATED: Part number changed ECS-250-10-33B-CWN-TR → ECS-250-10-33B-CKY-TR3 per JLCPCB BOM.</t>
  </si>
  <si>
    <t>Low Speed Crystal (LSE)</t>
  </si>
  <si>
    <t>Handles sleep mode for sensors, timekeeping</t>
  </si>
  <si>
    <t>ABS07-32.768KHZ-T</t>
  </si>
  <si>
    <t>ADDED: Handles sleep modes for sensors, low power mode for device, small and inexpensive.</t>
  </si>
  <si>
    <t>Programmer</t>
  </si>
  <si>
    <t>Allow for STM32N655L0H3Q programming</t>
  </si>
  <si>
    <t>STLINK-V3MINIE</t>
  </si>
  <si>
    <t>ADDED: Need a specific programmer for the STM32N657X0H3Q bare MCU, not just a USB.</t>
  </si>
  <si>
    <t>Dev Board</t>
  </si>
  <si>
    <t>Testing, firmware writing prior to PCB completion</t>
  </si>
  <si>
    <t>NUCLEO-N657X0-Q</t>
  </si>
  <si>
    <t>Vision</t>
  </si>
  <si>
    <t>Camera</t>
  </si>
  <si>
    <t>Low distortion camera module</t>
  </si>
  <si>
    <t>IMX335</t>
  </si>
  <si>
    <t>ToF Sensors (Main board)</t>
  </si>
  <si>
    <t>Sensors for obstacle detection - FRONT</t>
  </si>
  <si>
    <t>VL53L7CXV0GC/1</t>
  </si>
  <si>
    <t>CHANGED: 1 on-board ToF sensor (front). Qty updated to reflect 2 assembled boards. Side/rear sensors are on SATEL breakouts (separate line item).</t>
  </si>
  <si>
    <t>ToF Sensors (Breakout)</t>
  </si>
  <si>
    <t>Sensors for obstacle detection - REAR / SIDES</t>
  </si>
  <si>
    <t>SATEL-VL53L7 (2 pack)</t>
  </si>
  <si>
    <t xml:space="preserve">ADDED: Donetski project description states "multiple IR sensors positioned around the wearable device will detect ostactles in DIFFERENT DIRECTIONS!!! (front, sides and rear)" </t>
  </si>
  <si>
    <t>Power</t>
  </si>
  <si>
    <t>LiPo Battery</t>
  </si>
  <si>
    <t>Flat batteries for portability</t>
  </si>
  <si>
    <t>KBT 3.7V (2 pack)</t>
  </si>
  <si>
    <t>Buck Converter</t>
  </si>
  <si>
    <t>Stable input power necessary</t>
  </si>
  <si>
    <t>TPS62132RGTR</t>
  </si>
  <si>
    <t>P-MOSFET</t>
  </si>
  <si>
    <t>Reverse polarity protection</t>
  </si>
  <si>
    <t>DMG2301L-7</t>
  </si>
  <si>
    <t>ADDED: If the batteries are plugged in with the wrong orientation, the board will not be bricked</t>
  </si>
  <si>
    <t>Polyfuse</t>
  </si>
  <si>
    <t>Device protection</t>
  </si>
  <si>
    <t>MF-PSMF075X-2</t>
  </si>
  <si>
    <t>ADDED: Protects against potential current surges</t>
  </si>
  <si>
    <t>TVS Diode</t>
  </si>
  <si>
    <t>ESD protection</t>
  </si>
  <si>
    <t>SD05.TCT</t>
  </si>
  <si>
    <t>ADDED: ESD from touching can damage the components</t>
  </si>
  <si>
    <t>Power Inductor</t>
  </si>
  <si>
    <t>Shielded power inductors - high current capabilty</t>
  </si>
  <si>
    <t>DFE201612E-1R0M=P2</t>
  </si>
  <si>
    <t>ADDED: Cheap and safer just to have these specific inductors in case lab-provided ones are insufficient. - L1</t>
  </si>
  <si>
    <t>XFL4020-222MEC</t>
  </si>
  <si>
    <t>ADDED: Cheap and safer just to have these specific inductors in case lab-provided ones are insufficient. - L2</t>
  </si>
  <si>
    <t>Charger IC</t>
  </si>
  <si>
    <t>Need 4.2V to fully charge LiPo cells, battery protection</t>
  </si>
  <si>
    <t>MCP73831T-2ACI/OT</t>
  </si>
  <si>
    <t>LDO 1.8V</t>
  </si>
  <si>
    <t>Needed for reference voltage</t>
  </si>
  <si>
    <t>TPS7A2018PDBVR</t>
  </si>
  <si>
    <t>REMOVED 1.2V and 2.8V LDOs: The camera module only needs +3.3V, if we got the bare camera it would need these different voltages.</t>
  </si>
  <si>
    <t>Slide Switch</t>
  </si>
  <si>
    <t>Used for power on/off</t>
  </si>
  <si>
    <t>OS102011MA1QN1</t>
  </si>
  <si>
    <t>ADDED: Better than push button for power.</t>
  </si>
  <si>
    <t>Audio</t>
  </si>
  <si>
    <t>Speakers</t>
  </si>
  <si>
    <t>Audio output</t>
  </si>
  <si>
    <t>CES-24208-18PM-X7</t>
  </si>
  <si>
    <t>CHANGED: MUCH smaller - positioned on the headband above the ears</t>
  </si>
  <si>
    <t>Audio Amplifier</t>
  </si>
  <si>
    <t>Speaker amplification</t>
  </si>
  <si>
    <t>MAX98357AETE+T</t>
  </si>
  <si>
    <t>ADDED: STM32 needs help with amplification. Need one for left speaker, one for right speaker.</t>
  </si>
  <si>
    <t>Scroll Wheel</t>
  </si>
  <si>
    <t>Mute, change volume</t>
  </si>
  <si>
    <t>SLLB510100</t>
  </si>
  <si>
    <t>CHANGED: Better scroll wheel, can mute by pushing it.</t>
  </si>
  <si>
    <t>Push Buttons</t>
  </si>
  <si>
    <t>User interface - adjust sensitivity, tone, power mode</t>
  </si>
  <si>
    <t>B3F-3120</t>
  </si>
  <si>
    <t>CHANGED: Need right angle for chassis</t>
  </si>
  <si>
    <t>Conn</t>
  </si>
  <si>
    <t>Programmer Header</t>
  </si>
  <si>
    <t>Header for the programmer</t>
  </si>
  <si>
    <t>FTSH-107-01-L-DV-K-A</t>
  </si>
  <si>
    <t>ADDED: Programmer must connect to our PCB with bare MCU.</t>
  </si>
  <si>
    <t>Camera Connector</t>
  </si>
  <si>
    <t>PCB connector header for camera ribbon cable</t>
  </si>
  <si>
    <t>1-1734248-5</t>
  </si>
  <si>
    <t>ADDED: Connector on PCB for the camera. Preliminary PCB design included a similar custom connector</t>
  </si>
  <si>
    <t>Battery Connector</t>
  </si>
  <si>
    <t>JST Connectors for the battery header</t>
  </si>
  <si>
    <t>B2B-PH-K-S</t>
  </si>
  <si>
    <t>ADDED: Batteries have JST connectors that must attach to the PCB</t>
  </si>
  <si>
    <t>Speaker Header</t>
  </si>
  <si>
    <t>Easier speaker PCB connection</t>
  </si>
  <si>
    <t>BM02B-SRSS-TB</t>
  </si>
  <si>
    <t>ADDED: Not strictly necessary, can just solder the wires together.</t>
  </si>
  <si>
    <t>Speaker Cable</t>
  </si>
  <si>
    <t>Needs to be long enough to reach ears</t>
  </si>
  <si>
    <t>A02SR02SR30K305B</t>
  </si>
  <si>
    <t>ADDED: Not strictly necessary, can just solder the wires together</t>
  </si>
  <si>
    <t>MicroUSB Port</t>
  </si>
  <si>
    <t>MicroUSB header for charging LiPo batteries</t>
  </si>
  <si>
    <t>10118194-0001LF</t>
  </si>
  <si>
    <t>CHANGED: Adafruit 1904 was not correct for our application.</t>
  </si>
  <si>
    <t>VL53L7 Header (Breakout)</t>
  </si>
  <si>
    <t xml:space="preserve"> 9 pin header for breakout board</t>
  </si>
  <si>
    <t>BM09B-GHS-TBT</t>
  </si>
  <si>
    <t>ADDED: Connection for breakouts</t>
  </si>
  <si>
    <t>VL53L7 Cable (Breakout)</t>
  </si>
  <si>
    <t>Long enough cable to go to different spots on the head</t>
  </si>
  <si>
    <t>20 Pairs 150mm</t>
  </si>
  <si>
    <t>ADDED: Connection for breakouts around the headset</t>
  </si>
  <si>
    <t>MicroSD Slot</t>
  </si>
  <si>
    <t>Connector/slot for MicroSD card on the PCB</t>
  </si>
  <si>
    <t>DM3AT-SF-PEJM5</t>
  </si>
  <si>
    <t>CHANGED: Adafruit 254 has unnecessary components.</t>
  </si>
  <si>
    <t>Misc</t>
  </si>
  <si>
    <t>Ferrite Bead</t>
  </si>
  <si>
    <t>STM32N657 power system</t>
  </si>
  <si>
    <t>BLM18AG121SN1D</t>
  </si>
  <si>
    <t>ADDED: Just in case lab does not have exact ferrite bead</t>
  </si>
  <si>
    <t>MicroUSB ESD Protection</t>
  </si>
  <si>
    <t>Protection from hand ESD</t>
  </si>
  <si>
    <t>USBLC6-2SC6</t>
  </si>
  <si>
    <t>ADDED: ESD can damage the components</t>
  </si>
  <si>
    <t>MicroSD Card</t>
  </si>
  <si>
    <t>Debugging, also could help with audio output files</t>
  </si>
  <si>
    <t>Sandisk Ultra 32GB</t>
  </si>
  <si>
    <t>MicroUSB cable</t>
  </si>
  <si>
    <t>For charging the LiPo batteries</t>
  </si>
  <si>
    <t>USB to Micro USB</t>
  </si>
  <si>
    <t>Headband</t>
  </si>
  <si>
    <t>Wearable headband strap</t>
  </si>
  <si>
    <t>-</t>
  </si>
  <si>
    <t>Custom PCB</t>
  </si>
  <si>
    <t>JLCPCB</t>
  </si>
  <si>
    <t>GRAND TOTAL:</t>
  </si>
  <si>
    <t>tax+fees not included</t>
  </si>
  <si>
    <t>JLCPCB PCBA: 5 PCBs fabricated, 2 assembled. On-board component quantities reflect ×2 assembled boards.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</si>
</sst>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8">
    <font>
      <sz val="10.0"/>
      <color rgb="FF000000"/>
      <name val="Arial"/>
      <scheme val="minor"/>
    </font>
    <font>
      <b/>
      <sz val="11.0"/>
      <color theme="1"/>
      <name val="Roboto"/>
    </font>
    <font>
      <b/>
      <sz val="11.0"/>
      <color rgb="FFFFFFFF"/>
      <name val="Roboto"/>
    </font>
    <font>
      <b/>
      <sz val="11.0"/>
      <color theme="1"/>
      <name val="Arial"/>
    </font>
    <font>
      <sz val="11.0"/>
      <color theme="1"/>
      <name val="Roboto"/>
    </font>
    <font>
      <u/>
      <sz val="11.0"/>
      <color rgb="FF0000FF"/>
      <name val="Roboto"/>
    </font>
    <font>
      <b/>
      <sz val="11.0"/>
      <color rgb="FF1F1F1F"/>
      <name val="Roboto"/>
    </font>
    <font>
      <sz val="11.0"/>
      <color theme="1"/>
      <name val="Arial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/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shrinkToFit="0" vertical="center" wrapText="0"/>
    </xf>
    <xf borderId="1" fillId="3" fontId="6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1" fillId="3" fontId="4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readingOrder="0" shrinkToFit="0" vertical="center" wrapText="1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ill="1" applyFont="1">
      <alignment shrinkToFit="0" vertical="center" wrapText="1"/>
    </xf>
    <xf borderId="1" fillId="4" fontId="9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4" numFmtId="164" xfId="0" applyAlignment="1" applyBorder="1" applyFont="1" applyNumberFormat="1">
      <alignment horizontal="center" shrinkToFit="0" vertical="center" wrapText="0"/>
    </xf>
    <xf borderId="1" fillId="4" fontId="6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4" numFmtId="164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1" fillId="5" fontId="4" numFmtId="0" xfId="0" applyAlignment="1" applyBorder="1" applyFont="1">
      <alignment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164" xfId="0" applyAlignment="1" applyBorder="1" applyFont="1" applyNumberFormat="1">
      <alignment horizontal="center" shrinkToFit="0" vertical="center" wrapText="0"/>
    </xf>
    <xf borderId="1" fillId="5" fontId="1" numFmtId="0" xfId="0" applyAlignment="1" applyBorder="1" applyFont="1">
      <alignment shrinkToFit="0" vertical="center" wrapText="1"/>
    </xf>
    <xf borderId="1" fillId="5" fontId="11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shrinkToFit="0" vertical="center" wrapText="1"/>
    </xf>
    <xf borderId="1" fillId="6" fontId="4" numFmtId="0" xfId="0" applyAlignment="1" applyBorder="1" applyFill="1" applyFont="1">
      <alignment readingOrder="0" shrinkToFit="0" vertical="center" wrapText="1"/>
    </xf>
    <xf borderId="1" fillId="6" fontId="12" numFmtId="0" xfId="0" applyAlignment="1" applyBorder="1" applyFont="1">
      <alignment horizontal="center" shrinkToFit="0" vertical="center" wrapText="0"/>
    </xf>
    <xf borderId="1" fillId="6" fontId="4" numFmtId="0" xfId="0" applyAlignment="1" applyBorder="1" applyFont="1">
      <alignment horizontal="center" readingOrder="0" shrinkToFit="0" vertical="center" wrapText="0"/>
    </xf>
    <xf borderId="1" fillId="6" fontId="4" numFmtId="164" xfId="0" applyAlignment="1" applyBorder="1" applyFont="1" applyNumberFormat="1">
      <alignment horizontal="center" readingOrder="0" shrinkToFit="0" vertical="center" wrapText="0"/>
    </xf>
    <xf borderId="1" fillId="6" fontId="4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ont="1">
      <alignment readingOrder="0" shrinkToFit="0" vertical="center" wrapText="1"/>
    </xf>
    <xf borderId="1" fillId="6" fontId="13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shrinkToFit="0" vertical="center" wrapText="1"/>
    </xf>
    <xf borderId="1" fillId="7" fontId="4" numFmtId="0" xfId="0" applyAlignment="1" applyBorder="1" applyFill="1" applyFont="1">
      <alignment shrinkToFit="0" vertical="center" wrapText="1"/>
    </xf>
    <xf borderId="1" fillId="7" fontId="14" numFmtId="0" xfId="0" applyAlignment="1" applyBorder="1" applyFont="1">
      <alignment horizontal="center" shrinkToFit="0" vertical="center" wrapText="0"/>
    </xf>
    <xf borderId="1" fillId="7" fontId="4" numFmtId="0" xfId="0" applyAlignment="1" applyBorder="1" applyFont="1">
      <alignment horizontal="center" shrinkToFit="0" vertical="center" wrapText="0"/>
    </xf>
    <xf borderId="1" fillId="7" fontId="4" numFmtId="164" xfId="0" applyAlignment="1" applyBorder="1" applyFont="1" applyNumberFormat="1">
      <alignment horizontal="center" shrinkToFit="0" vertical="center" wrapText="0"/>
    </xf>
    <xf borderId="1" fillId="7" fontId="1" numFmtId="0" xfId="0" applyAlignment="1" applyBorder="1" applyFont="1">
      <alignment shrinkToFit="0" vertical="center" wrapText="1"/>
    </xf>
    <xf borderId="1" fillId="7" fontId="6" numFmtId="0" xfId="0" applyAlignment="1" applyBorder="1" applyFont="1">
      <alignment shrinkToFit="0" vertical="center" wrapText="1"/>
    </xf>
    <xf borderId="1" fillId="7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2" fillId="8" fontId="1" numFmtId="164" xfId="0" applyAlignment="1" applyBorder="1" applyFill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3" fillId="0" fontId="1" numFmtId="164" xfId="0" applyAlignment="1" applyBorder="1" applyFont="1" applyNumberFormat="1">
      <alignment horizontal="center" readingOrder="0" shrinkToFit="0" vertical="center" wrapText="0"/>
    </xf>
    <xf borderId="4" fillId="0" fontId="16" numFmtId="0" xfId="0" applyBorder="1" applyFont="1"/>
    <xf borderId="5" fillId="0" fontId="16" numFmtId="0" xfId="0" applyBorder="1" applyFon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analog-devices-inc-maxim-integrated/MAX98357AETE-T/4936122" TargetMode="External"/><Relationship Id="rId22" Type="http://schemas.openxmlformats.org/officeDocument/2006/relationships/hyperlink" Target="https://www.digikey.com/en/products/detail/omron-electronics-inc-emc-div/B3F-3120/38364" TargetMode="External"/><Relationship Id="rId21" Type="http://schemas.openxmlformats.org/officeDocument/2006/relationships/hyperlink" Target="https://www.digikey.com/en/products/detail/alps-alpine/SLLB510100/19529122" TargetMode="External"/><Relationship Id="rId24" Type="http://schemas.openxmlformats.org/officeDocument/2006/relationships/hyperlink" Target="https://www.digikey.com/en/products/detail/te-connectivity-amp-connectors/1-1734248-5/2272380" TargetMode="External"/><Relationship Id="rId23" Type="http://schemas.openxmlformats.org/officeDocument/2006/relationships/hyperlink" Target="https://www.digikey.com/en/products/detail/samtec-inc/FTSH-107-01-L-DV-K-A/7443623" TargetMode="External"/><Relationship Id="rId1" Type="http://schemas.openxmlformats.org/officeDocument/2006/relationships/hyperlink" Target="https://estore.st.com/en/stm32n657x0h3q-cpn.html" TargetMode="External"/><Relationship Id="rId2" Type="http://schemas.openxmlformats.org/officeDocument/2006/relationships/hyperlink" Target="https://www.digikey.com/en/products/detail/ecs-inc/ECS-250-10-33B-CWN-TR3/15790565?s=N4IgTCBcDaIKIGEDKBaMBWADCgjNgzPgEIoIDqAcigCoBK%2BIAugL5A" TargetMode="External"/><Relationship Id="rId3" Type="http://schemas.openxmlformats.org/officeDocument/2006/relationships/hyperlink" Target="https://www.digikey.com/en/products/detail/abracon-llc/ABS07-32-768KHZ-T/1236858" TargetMode="External"/><Relationship Id="rId4" Type="http://schemas.openxmlformats.org/officeDocument/2006/relationships/hyperlink" Target="https://www.digikey.com/en/products/detail/stmicroelectronics/STLINK-V3MINIE/16284301" TargetMode="External"/><Relationship Id="rId9" Type="http://schemas.openxmlformats.org/officeDocument/2006/relationships/hyperlink" Target="https://www.amazon.com/KBT-2-0mm-2Pin-Connector-Rechargeable-Projectors/dp/B0FD7TML8T/ref=sr_1_3_sspa?crid=28S4SHU3PECE&amp;dib=eyJ2IjoiMSJ9.3Vvz-Bif8XGBKdLGIX3sx7r8I5isqwR-FTLXVoonmDqmluNvnUYirHyYyMHEf7oEiG38IP9VOpWQrZNam_bOW_nLruzx_DqurMXTibQhEUdfjj2g1h7A_d" TargetMode="External"/><Relationship Id="rId26" Type="http://schemas.openxmlformats.org/officeDocument/2006/relationships/hyperlink" Target="https://www.digikey.com/en/products/detail/jst-sales-america-inc/BM02B-SRSS-TB/926694" TargetMode="External"/><Relationship Id="rId25" Type="http://schemas.openxmlformats.org/officeDocument/2006/relationships/hyperlink" Target="https://www.digikey.com/en/products/detail/jst-sales-america-inc/B2B-PH-K-S/926611" TargetMode="External"/><Relationship Id="rId28" Type="http://schemas.openxmlformats.org/officeDocument/2006/relationships/hyperlink" Target="https://www.digikey.com/en/products/detail/amphenol-cs-fci/10118194-0001LF/2785389" TargetMode="External"/><Relationship Id="rId27" Type="http://schemas.openxmlformats.org/officeDocument/2006/relationships/hyperlink" Target="https://www.digikey.com/en/products/detail/jst-sales-america-inc/A02SR02SR30K305B/6009393?s=N4IgTCBcDaIIIAYwGUBKS0GYEGlsFYAhEAXQF8g" TargetMode="External"/><Relationship Id="rId5" Type="http://schemas.openxmlformats.org/officeDocument/2006/relationships/hyperlink" Target="https://www.mouser.com/ProductDetail/511-NUCLEO-N657X0-Q" TargetMode="External"/><Relationship Id="rId6" Type="http://schemas.openxmlformats.org/officeDocument/2006/relationships/hyperlink" Target="https://www.arducam.com/imx335-camera-module-for-rpi-arducam-opensource-camera.html" TargetMode="External"/><Relationship Id="rId29" Type="http://schemas.openxmlformats.org/officeDocument/2006/relationships/hyperlink" Target="https://www.digikey.com/en/products/detail/jst-sales-america-inc/BM09B-GHS-TBT/807807?s=N4IgTCBcDaIEIFkAMBOOBaA4gCQMroBU4CQBdAXyA" TargetMode="External"/><Relationship Id="rId7" Type="http://schemas.openxmlformats.org/officeDocument/2006/relationships/hyperlink" Target="https://estore.st.com/en/vl53l7cxv0gc-1-cpn.html" TargetMode="External"/><Relationship Id="rId8" Type="http://schemas.openxmlformats.org/officeDocument/2006/relationships/hyperlink" Target="https://www.digikey.com/en/products/detail/stmicroelectronics/SATEL-VL53L7/26810596" TargetMode="External"/><Relationship Id="rId31" Type="http://schemas.openxmlformats.org/officeDocument/2006/relationships/hyperlink" Target="https://www.digikey.com/en/products/detail/hirose-electric-co-ltd/DM3AT-SF-PEJM5/2533565" TargetMode="External"/><Relationship Id="rId30" Type="http://schemas.openxmlformats.org/officeDocument/2006/relationships/hyperlink" Target="https://www.amazon.com/Teansic-GH-Pre-Crimped-Connectors-Printer%E3%80%81Flight/dp/B0F4QF2TTT/ref=sr_1_2?crid=YUI237WMCRQ6&amp;dib=eyJ2IjoiMSJ9.j16DX-GOmpewTGAYZIyl1jFqNBtag-ZWg2lZ7tGy0wIK87cTIecyrLfQEHq78CbIXo7XsSXxil9LQWFgI9HEUhJWY7aTk9rD7IMcJMBK8Cx_IyGo93rellTMv1u" TargetMode="External"/><Relationship Id="rId11" Type="http://schemas.openxmlformats.org/officeDocument/2006/relationships/hyperlink" Target="https://www.digikey.com/en/products/detail/diodes-incorporated/DMG2301L-7/5768820" TargetMode="External"/><Relationship Id="rId33" Type="http://schemas.openxmlformats.org/officeDocument/2006/relationships/hyperlink" Target="https://www.digikey.com/en/products/detail/stmicroelectronics/USBLC6-2SC6/1040559" TargetMode="External"/><Relationship Id="rId10" Type="http://schemas.openxmlformats.org/officeDocument/2006/relationships/hyperlink" Target="https://www.digikey.com/en/products/detail/texas-instruments/TPS62132RGTR/2786726" TargetMode="External"/><Relationship Id="rId32" Type="http://schemas.openxmlformats.org/officeDocument/2006/relationships/hyperlink" Target="https://www.digikey.com/en/products/detail/murata-electronics/BLM18AG121SN1D/584222" TargetMode="External"/><Relationship Id="rId13" Type="http://schemas.openxmlformats.org/officeDocument/2006/relationships/hyperlink" Target="https://www.mouser.com/ProductDetail/Semtech/SD05.TCT?qs=rBWM4%252BvDhIed78qt1y4o0Q%3D%3D" TargetMode="External"/><Relationship Id="rId35" Type="http://schemas.openxmlformats.org/officeDocument/2006/relationships/hyperlink" Target="https://www.amazon.com/Smays-Micro-Cable-Charging-2-Pack/dp/B004GETLY2/ref=sr_1_17?dib=eyJ2IjoiMSJ9._H_zFTw_Lgw-nBcdlPKparQp46813mQHTzoWfFX65BBtoeqS89bJngfqb6VaBlTC3GfzOhjxDi_gdrBIKdyVcWXL3TPsX4plRURFbbmldzaawutwx7npoqmhUXKTOPLh_FUO6mn6isoFILLEugcAq2QSJcC" TargetMode="External"/><Relationship Id="rId12" Type="http://schemas.openxmlformats.org/officeDocument/2006/relationships/hyperlink" Target="https://www.digikey.com/en/products/detail/bourns-inc/MF-PSMF075X-2/1762168" TargetMode="External"/><Relationship Id="rId34" Type="http://schemas.openxmlformats.org/officeDocument/2006/relationships/hyperlink" Target="https://shop.sandisk.com/products/memory-cards/microsd-cards/sandisk-ultra-uhs-i-microsd?sku=SDSQUA4-032G-GN6MA" TargetMode="External"/><Relationship Id="rId15" Type="http://schemas.openxmlformats.org/officeDocument/2006/relationships/hyperlink" Target="https://www.mouser.com/ProductDetail/Coilcraft/XFL4020-222MEC?qs=zCSbvcPd3pbe5jEAG1ZkEA%3D%3D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digikey.com/en/products/detail/murata-electronics/DFE201612E-1R0M-P2/7595454" TargetMode="External"/><Relationship Id="rId36" Type="http://schemas.openxmlformats.org/officeDocument/2006/relationships/hyperlink" Target="https://jlcpcb.com/" TargetMode="External"/><Relationship Id="rId17" Type="http://schemas.openxmlformats.org/officeDocument/2006/relationships/hyperlink" Target="https://www.digikey.com/en/products/detail/texas-instruments/TPS7A2018PDBVR/13566855" TargetMode="External"/><Relationship Id="rId16" Type="http://schemas.openxmlformats.org/officeDocument/2006/relationships/hyperlink" Target="https://www.digikey.com/en/products/detail/microchip-technology/MCP73831T-2ACI-OT/964301" TargetMode="External"/><Relationship Id="rId19" Type="http://schemas.openxmlformats.org/officeDocument/2006/relationships/hyperlink" Target="https://www.digikey.com/en/products/detail/same-sky-formerly-cui-devices/CES-24208-18PM-X7/22106648" TargetMode="External"/><Relationship Id="rId18" Type="http://schemas.openxmlformats.org/officeDocument/2006/relationships/hyperlink" Target="https://www.digikey.com/en/products/detail/c-k/OS102011MA1QN1/1981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3.63"/>
    <col customWidth="1" min="3" max="3" width="24.88"/>
    <col customWidth="1" min="4" max="4" width="21.38"/>
    <col customWidth="1" min="5" max="5" width="3.5"/>
    <col customWidth="1" min="6" max="6" width="12.5"/>
    <col customWidth="1" min="7" max="7" width="8.63"/>
    <col customWidth="1" min="8" max="8" width="79.7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43.5" customHeight="1">
      <c r="A2" s="7" t="s">
        <v>8</v>
      </c>
      <c r="B2" s="8" t="s">
        <v>9</v>
      </c>
      <c r="C2" s="8" t="s">
        <v>10</v>
      </c>
      <c r="D2" s="9" t="s">
        <v>11</v>
      </c>
      <c r="E2" s="10">
        <v>2.0</v>
      </c>
      <c r="F2" s="11">
        <v>20.58</v>
      </c>
      <c r="G2" s="11">
        <f t="shared" ref="G2:G37" si="1">E2*F2</f>
        <v>41.16</v>
      </c>
      <c r="H2" s="12" t="s">
        <v>12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28.5" customHeight="1">
      <c r="A3" s="7" t="s">
        <v>8</v>
      </c>
      <c r="B3" s="8" t="s">
        <v>13</v>
      </c>
      <c r="C3" s="14" t="s">
        <v>14</v>
      </c>
      <c r="D3" s="9" t="s">
        <v>15</v>
      </c>
      <c r="E3" s="10">
        <v>2.0</v>
      </c>
      <c r="F3" s="11">
        <v>0.39</v>
      </c>
      <c r="G3" s="11">
        <f t="shared" si="1"/>
        <v>0.78</v>
      </c>
      <c r="H3" s="15" t="s">
        <v>16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28.5" customHeight="1">
      <c r="A4" s="7" t="s">
        <v>8</v>
      </c>
      <c r="B4" s="8" t="s">
        <v>17</v>
      </c>
      <c r="C4" s="8" t="s">
        <v>18</v>
      </c>
      <c r="D4" s="16" t="s">
        <v>19</v>
      </c>
      <c r="E4" s="10">
        <v>2.0</v>
      </c>
      <c r="F4" s="11">
        <v>0.61</v>
      </c>
      <c r="G4" s="11">
        <f t="shared" si="1"/>
        <v>1.22</v>
      </c>
      <c r="H4" s="15" t="s">
        <v>20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ht="28.5" customHeight="1">
      <c r="A5" s="7" t="s">
        <v>8</v>
      </c>
      <c r="B5" s="8" t="s">
        <v>21</v>
      </c>
      <c r="C5" s="8" t="s">
        <v>22</v>
      </c>
      <c r="D5" s="16" t="s">
        <v>23</v>
      </c>
      <c r="E5" s="10">
        <v>1.0</v>
      </c>
      <c r="F5" s="11">
        <v>11.74</v>
      </c>
      <c r="G5" s="11">
        <f t="shared" si="1"/>
        <v>11.74</v>
      </c>
      <c r="H5" s="15" t="s">
        <v>24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28.5" customHeight="1">
      <c r="A6" s="7" t="s">
        <v>8</v>
      </c>
      <c r="B6" s="8" t="s">
        <v>25</v>
      </c>
      <c r="C6" s="17" t="s">
        <v>26</v>
      </c>
      <c r="D6" s="9" t="s">
        <v>27</v>
      </c>
      <c r="E6" s="10">
        <v>1.0</v>
      </c>
      <c r="F6" s="18">
        <v>57.5</v>
      </c>
      <c r="G6" s="11">
        <f t="shared" si="1"/>
        <v>57.5</v>
      </c>
      <c r="H6" s="15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28.5" customHeight="1">
      <c r="A7" s="7" t="s">
        <v>28</v>
      </c>
      <c r="B7" s="19" t="s">
        <v>29</v>
      </c>
      <c r="C7" s="19" t="s">
        <v>30</v>
      </c>
      <c r="D7" s="20" t="s">
        <v>31</v>
      </c>
      <c r="E7" s="21">
        <v>2.0</v>
      </c>
      <c r="F7" s="22">
        <v>25.19</v>
      </c>
      <c r="G7" s="22">
        <f t="shared" si="1"/>
        <v>50.38</v>
      </c>
      <c r="H7" s="2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28.5" customHeight="1">
      <c r="A8" s="7" t="s">
        <v>28</v>
      </c>
      <c r="B8" s="19" t="s">
        <v>32</v>
      </c>
      <c r="C8" s="24" t="s">
        <v>33</v>
      </c>
      <c r="D8" s="20" t="s">
        <v>34</v>
      </c>
      <c r="E8" s="21">
        <v>2.0</v>
      </c>
      <c r="F8" s="22">
        <v>7.88</v>
      </c>
      <c r="G8" s="22">
        <f t="shared" si="1"/>
        <v>15.76</v>
      </c>
      <c r="H8" s="23" t="s">
        <v>35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28.5" customHeight="1">
      <c r="A9" s="7" t="s">
        <v>28</v>
      </c>
      <c r="B9" s="24" t="s">
        <v>36</v>
      </c>
      <c r="C9" s="24" t="s">
        <v>37</v>
      </c>
      <c r="D9" s="20" t="s">
        <v>38</v>
      </c>
      <c r="E9" s="25">
        <v>2.0</v>
      </c>
      <c r="F9" s="26">
        <v>18.45</v>
      </c>
      <c r="G9" s="22">
        <f t="shared" si="1"/>
        <v>36.9</v>
      </c>
      <c r="H9" s="27" t="s">
        <v>39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5.0" customHeight="1">
      <c r="A10" s="7" t="s">
        <v>40</v>
      </c>
      <c r="B10" s="28" t="s">
        <v>41</v>
      </c>
      <c r="C10" s="29" t="s">
        <v>42</v>
      </c>
      <c r="D10" s="30" t="s">
        <v>43</v>
      </c>
      <c r="E10" s="31">
        <v>1.0</v>
      </c>
      <c r="F10" s="32">
        <v>21.99</v>
      </c>
      <c r="G10" s="32">
        <f t="shared" si="1"/>
        <v>21.99</v>
      </c>
      <c r="H10" s="3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5.0" customHeight="1">
      <c r="A11" s="7" t="s">
        <v>40</v>
      </c>
      <c r="B11" s="28" t="s">
        <v>44</v>
      </c>
      <c r="C11" s="28" t="s">
        <v>45</v>
      </c>
      <c r="D11" s="34" t="s">
        <v>46</v>
      </c>
      <c r="E11" s="35">
        <v>2.0</v>
      </c>
      <c r="F11" s="32">
        <v>1.93</v>
      </c>
      <c r="G11" s="32">
        <f t="shared" si="1"/>
        <v>3.86</v>
      </c>
      <c r="H11" s="3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5.0" customHeight="1">
      <c r="A12" s="7" t="s">
        <v>40</v>
      </c>
      <c r="B12" s="28" t="s">
        <v>47</v>
      </c>
      <c r="C12" s="28" t="s">
        <v>48</v>
      </c>
      <c r="D12" s="34" t="s">
        <v>49</v>
      </c>
      <c r="E12" s="35">
        <v>2.0</v>
      </c>
      <c r="F12" s="32">
        <v>0.26</v>
      </c>
      <c r="G12" s="32">
        <f t="shared" si="1"/>
        <v>0.52</v>
      </c>
      <c r="H12" s="36" t="s">
        <v>50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5.0" customHeight="1">
      <c r="A13" s="7" t="s">
        <v>40</v>
      </c>
      <c r="B13" s="28" t="s">
        <v>51</v>
      </c>
      <c r="C13" s="28" t="s">
        <v>52</v>
      </c>
      <c r="D13" s="34" t="s">
        <v>53</v>
      </c>
      <c r="E13" s="35">
        <v>2.0</v>
      </c>
      <c r="F13" s="32">
        <v>0.36</v>
      </c>
      <c r="G13" s="32">
        <f t="shared" si="1"/>
        <v>0.72</v>
      </c>
      <c r="H13" s="33" t="s">
        <v>54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5.0" customHeight="1">
      <c r="A14" s="7" t="s">
        <v>40</v>
      </c>
      <c r="B14" s="28" t="s">
        <v>55</v>
      </c>
      <c r="C14" s="28" t="s">
        <v>56</v>
      </c>
      <c r="D14" s="34" t="s">
        <v>57</v>
      </c>
      <c r="E14" s="35">
        <v>2.0</v>
      </c>
      <c r="F14" s="32">
        <v>1.01</v>
      </c>
      <c r="G14" s="32">
        <f t="shared" si="1"/>
        <v>2.02</v>
      </c>
      <c r="H14" s="36" t="s">
        <v>58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28.5" customHeight="1">
      <c r="A15" s="7" t="s">
        <v>40</v>
      </c>
      <c r="B15" s="28" t="s">
        <v>59</v>
      </c>
      <c r="C15" s="29" t="s">
        <v>60</v>
      </c>
      <c r="D15" s="34" t="s">
        <v>61</v>
      </c>
      <c r="E15" s="35">
        <v>2.0</v>
      </c>
      <c r="F15" s="32">
        <v>0.24</v>
      </c>
      <c r="G15" s="32">
        <f t="shared" si="1"/>
        <v>0.48</v>
      </c>
      <c r="H15" s="33" t="s">
        <v>62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28.5" customHeight="1">
      <c r="A16" s="7" t="s">
        <v>40</v>
      </c>
      <c r="B16" s="28" t="s">
        <v>59</v>
      </c>
      <c r="C16" s="29" t="s">
        <v>60</v>
      </c>
      <c r="D16" s="34" t="s">
        <v>63</v>
      </c>
      <c r="E16" s="35">
        <v>2.0</v>
      </c>
      <c r="F16" s="32">
        <v>1.55</v>
      </c>
      <c r="G16" s="32">
        <f t="shared" si="1"/>
        <v>3.1</v>
      </c>
      <c r="H16" s="33" t="s">
        <v>64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28.5" customHeight="1">
      <c r="A17" s="7" t="s">
        <v>40</v>
      </c>
      <c r="B17" s="28" t="s">
        <v>65</v>
      </c>
      <c r="C17" s="28" t="s">
        <v>66</v>
      </c>
      <c r="D17" s="34" t="s">
        <v>67</v>
      </c>
      <c r="E17" s="35">
        <v>2.0</v>
      </c>
      <c r="F17" s="32">
        <v>0.76</v>
      </c>
      <c r="G17" s="32">
        <f t="shared" si="1"/>
        <v>1.52</v>
      </c>
      <c r="H17" s="3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28.5" customHeight="1">
      <c r="A18" s="7" t="s">
        <v>40</v>
      </c>
      <c r="B18" s="28" t="s">
        <v>68</v>
      </c>
      <c r="C18" s="28" t="s">
        <v>69</v>
      </c>
      <c r="D18" s="34" t="s">
        <v>70</v>
      </c>
      <c r="E18" s="35">
        <v>2.0</v>
      </c>
      <c r="F18" s="32">
        <v>0.32</v>
      </c>
      <c r="G18" s="32">
        <f t="shared" si="1"/>
        <v>0.64</v>
      </c>
      <c r="H18" s="37" t="s">
        <v>71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5.0" customHeight="1">
      <c r="A19" s="7" t="s">
        <v>40</v>
      </c>
      <c r="B19" s="28" t="s">
        <v>72</v>
      </c>
      <c r="C19" s="29" t="s">
        <v>73</v>
      </c>
      <c r="D19" s="30" t="s">
        <v>74</v>
      </c>
      <c r="E19" s="35">
        <v>2.0</v>
      </c>
      <c r="F19" s="32">
        <v>1.14</v>
      </c>
      <c r="G19" s="32">
        <f t="shared" si="1"/>
        <v>2.28</v>
      </c>
      <c r="H19" s="33" t="s">
        <v>75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5.0" customHeight="1">
      <c r="A20" s="7" t="s">
        <v>76</v>
      </c>
      <c r="B20" s="38" t="s">
        <v>77</v>
      </c>
      <c r="C20" s="38" t="s">
        <v>78</v>
      </c>
      <c r="D20" s="39" t="s">
        <v>79</v>
      </c>
      <c r="E20" s="40">
        <v>2.0</v>
      </c>
      <c r="F20" s="41">
        <v>3.87</v>
      </c>
      <c r="G20" s="42">
        <f t="shared" si="1"/>
        <v>7.74</v>
      </c>
      <c r="H20" s="43" t="s">
        <v>80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0" customHeight="1">
      <c r="A21" s="7" t="s">
        <v>76</v>
      </c>
      <c r="B21" s="38" t="s">
        <v>81</v>
      </c>
      <c r="C21" s="38" t="s">
        <v>82</v>
      </c>
      <c r="D21" s="44" t="s">
        <v>83</v>
      </c>
      <c r="E21" s="45">
        <v>4.0</v>
      </c>
      <c r="F21" s="42">
        <v>3.19</v>
      </c>
      <c r="G21" s="42">
        <f t="shared" si="1"/>
        <v>12.76</v>
      </c>
      <c r="H21" s="46" t="s">
        <v>84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0" customHeight="1">
      <c r="A22" s="7" t="s">
        <v>76</v>
      </c>
      <c r="B22" s="47" t="s">
        <v>85</v>
      </c>
      <c r="C22" s="38" t="s">
        <v>86</v>
      </c>
      <c r="D22" s="39" t="s">
        <v>87</v>
      </c>
      <c r="E22" s="45">
        <v>2.0</v>
      </c>
      <c r="F22" s="42">
        <v>3.95</v>
      </c>
      <c r="G22" s="42">
        <f t="shared" si="1"/>
        <v>7.9</v>
      </c>
      <c r="H22" s="46" t="s">
        <v>88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28.5" customHeight="1">
      <c r="A23" s="7" t="s">
        <v>76</v>
      </c>
      <c r="B23" s="47" t="s">
        <v>89</v>
      </c>
      <c r="C23" s="47" t="s">
        <v>90</v>
      </c>
      <c r="D23" s="44" t="s">
        <v>91</v>
      </c>
      <c r="E23" s="45">
        <v>4.0</v>
      </c>
      <c r="F23" s="42">
        <v>0.33</v>
      </c>
      <c r="G23" s="42">
        <f t="shared" si="1"/>
        <v>1.32</v>
      </c>
      <c r="H23" s="46" t="s">
        <v>92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28.5" customHeight="1">
      <c r="A24" s="7" t="s">
        <v>93</v>
      </c>
      <c r="B24" s="48" t="s">
        <v>94</v>
      </c>
      <c r="C24" s="48" t="s">
        <v>95</v>
      </c>
      <c r="D24" s="49" t="s">
        <v>96</v>
      </c>
      <c r="E24" s="50">
        <v>2.0</v>
      </c>
      <c r="F24" s="51">
        <v>3.21</v>
      </c>
      <c r="G24" s="51">
        <f t="shared" si="1"/>
        <v>6.42</v>
      </c>
      <c r="H24" s="52" t="s">
        <v>97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28.5" customHeight="1">
      <c r="A25" s="7" t="s">
        <v>93</v>
      </c>
      <c r="B25" s="48" t="s">
        <v>98</v>
      </c>
      <c r="C25" s="48" t="s">
        <v>99</v>
      </c>
      <c r="D25" s="49" t="s">
        <v>100</v>
      </c>
      <c r="E25" s="50">
        <v>2.0</v>
      </c>
      <c r="F25" s="51">
        <v>1.71</v>
      </c>
      <c r="G25" s="51">
        <f t="shared" si="1"/>
        <v>3.42</v>
      </c>
      <c r="H25" s="53" t="s">
        <v>101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28.5" customHeight="1">
      <c r="A26" s="7" t="s">
        <v>93</v>
      </c>
      <c r="B26" s="48" t="s">
        <v>102</v>
      </c>
      <c r="C26" s="54" t="s">
        <v>103</v>
      </c>
      <c r="D26" s="49" t="s">
        <v>104</v>
      </c>
      <c r="E26" s="50">
        <v>4.0</v>
      </c>
      <c r="F26" s="51">
        <v>0.1</v>
      </c>
      <c r="G26" s="51">
        <f t="shared" si="1"/>
        <v>0.4</v>
      </c>
      <c r="H26" s="52" t="s">
        <v>105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28.5" customHeight="1">
      <c r="A27" s="7" t="s">
        <v>93</v>
      </c>
      <c r="B27" s="48" t="s">
        <v>106</v>
      </c>
      <c r="C27" s="48" t="s">
        <v>107</v>
      </c>
      <c r="D27" s="49" t="s">
        <v>108</v>
      </c>
      <c r="E27" s="50">
        <v>4.0</v>
      </c>
      <c r="F27" s="51">
        <v>0.39</v>
      </c>
      <c r="G27" s="51">
        <f t="shared" si="1"/>
        <v>1.56</v>
      </c>
      <c r="H27" s="52" t="s">
        <v>109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28.5" customHeight="1">
      <c r="A28" s="7" t="s">
        <v>93</v>
      </c>
      <c r="B28" s="48" t="s">
        <v>110</v>
      </c>
      <c r="C28" s="48" t="s">
        <v>111</v>
      </c>
      <c r="D28" s="49" t="s">
        <v>112</v>
      </c>
      <c r="E28" s="50">
        <v>5.0</v>
      </c>
      <c r="F28" s="51">
        <v>1.11</v>
      </c>
      <c r="G28" s="51">
        <f t="shared" si="1"/>
        <v>5.55</v>
      </c>
      <c r="H28" s="52" t="s">
        <v>113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28.5" customHeight="1">
      <c r="A29" s="7" t="s">
        <v>93</v>
      </c>
      <c r="B29" s="48" t="s">
        <v>114</v>
      </c>
      <c r="C29" s="54" t="s">
        <v>115</v>
      </c>
      <c r="D29" s="49" t="s">
        <v>116</v>
      </c>
      <c r="E29" s="50">
        <v>2.0</v>
      </c>
      <c r="F29" s="51">
        <v>0.43</v>
      </c>
      <c r="G29" s="51">
        <f t="shared" si="1"/>
        <v>0.86</v>
      </c>
      <c r="H29" s="52" t="s">
        <v>117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28.5" customHeight="1">
      <c r="A30" s="7" t="s">
        <v>93</v>
      </c>
      <c r="B30" s="48" t="s">
        <v>118</v>
      </c>
      <c r="C30" s="48" t="s">
        <v>119</v>
      </c>
      <c r="D30" s="49" t="s">
        <v>120</v>
      </c>
      <c r="E30" s="50">
        <v>6.0</v>
      </c>
      <c r="F30" s="51">
        <v>0.67</v>
      </c>
      <c r="G30" s="51">
        <f t="shared" si="1"/>
        <v>4.02</v>
      </c>
      <c r="H30" s="52" t="s">
        <v>121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28.5" customHeight="1">
      <c r="A31" s="7" t="s">
        <v>93</v>
      </c>
      <c r="B31" s="48" t="s">
        <v>122</v>
      </c>
      <c r="C31" s="48" t="s">
        <v>123</v>
      </c>
      <c r="D31" s="49" t="s">
        <v>124</v>
      </c>
      <c r="E31" s="50">
        <v>1.0</v>
      </c>
      <c r="F31" s="51">
        <v>9.49</v>
      </c>
      <c r="G31" s="51">
        <f t="shared" si="1"/>
        <v>9.49</v>
      </c>
      <c r="H31" s="52" t="s">
        <v>125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28.5" customHeight="1">
      <c r="A32" s="7" t="s">
        <v>93</v>
      </c>
      <c r="B32" s="48" t="s">
        <v>126</v>
      </c>
      <c r="C32" s="48" t="s">
        <v>127</v>
      </c>
      <c r="D32" s="49" t="s">
        <v>128</v>
      </c>
      <c r="E32" s="50">
        <v>2.0</v>
      </c>
      <c r="F32" s="51">
        <v>3.0</v>
      </c>
      <c r="G32" s="51">
        <f t="shared" si="1"/>
        <v>6</v>
      </c>
      <c r="H32" s="52" t="s">
        <v>129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5.0" customHeight="1">
      <c r="A33" s="7" t="s">
        <v>130</v>
      </c>
      <c r="B33" s="55" t="s">
        <v>131</v>
      </c>
      <c r="C33" s="56" t="s">
        <v>132</v>
      </c>
      <c r="D33" s="57" t="s">
        <v>133</v>
      </c>
      <c r="E33" s="58">
        <v>4.0</v>
      </c>
      <c r="F33" s="59">
        <v>0.1</v>
      </c>
      <c r="G33" s="59">
        <f t="shared" si="1"/>
        <v>0.4</v>
      </c>
      <c r="H33" s="60" t="s">
        <v>134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28.5" customHeight="1">
      <c r="A34" s="7" t="s">
        <v>130</v>
      </c>
      <c r="B34" s="55" t="s">
        <v>135</v>
      </c>
      <c r="C34" s="55" t="s">
        <v>136</v>
      </c>
      <c r="D34" s="57" t="s">
        <v>137</v>
      </c>
      <c r="E34" s="58">
        <v>2.0</v>
      </c>
      <c r="F34" s="59">
        <v>0.36</v>
      </c>
      <c r="G34" s="59">
        <f t="shared" si="1"/>
        <v>0.72</v>
      </c>
      <c r="H34" s="60" t="s">
        <v>138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28.5" customHeight="1">
      <c r="A35" s="7" t="s">
        <v>130</v>
      </c>
      <c r="B35" s="55" t="s">
        <v>139</v>
      </c>
      <c r="C35" s="55" t="s">
        <v>140</v>
      </c>
      <c r="D35" s="57" t="s">
        <v>141</v>
      </c>
      <c r="E35" s="58">
        <v>2.0</v>
      </c>
      <c r="F35" s="59">
        <v>11.99</v>
      </c>
      <c r="G35" s="59">
        <f t="shared" si="1"/>
        <v>23.98</v>
      </c>
      <c r="H35" s="6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28.5" customHeight="1">
      <c r="A36" s="7" t="s">
        <v>130</v>
      </c>
      <c r="B36" s="55" t="s">
        <v>142</v>
      </c>
      <c r="C36" s="56" t="s">
        <v>143</v>
      </c>
      <c r="D36" s="57" t="s">
        <v>144</v>
      </c>
      <c r="E36" s="58">
        <v>1.0</v>
      </c>
      <c r="F36" s="59">
        <v>4.99</v>
      </c>
      <c r="G36" s="59">
        <f t="shared" si="1"/>
        <v>4.99</v>
      </c>
      <c r="H36" s="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5.0" customHeight="1">
      <c r="A37" s="7" t="s">
        <v>130</v>
      </c>
      <c r="B37" s="56" t="s">
        <v>145</v>
      </c>
      <c r="C37" s="56" t="s">
        <v>146</v>
      </c>
      <c r="D37" s="58" t="s">
        <v>147</v>
      </c>
      <c r="E37" s="58">
        <v>2.0</v>
      </c>
      <c r="F37" s="59">
        <v>5.0</v>
      </c>
      <c r="G37" s="59">
        <f t="shared" si="1"/>
        <v>10</v>
      </c>
      <c r="H37" s="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5.0" customHeight="1">
      <c r="A38" s="7" t="s">
        <v>130</v>
      </c>
      <c r="B38" s="55" t="s">
        <v>148</v>
      </c>
      <c r="C38" s="55"/>
      <c r="D38" s="57" t="s">
        <v>149</v>
      </c>
      <c r="E38" s="58">
        <v>5.0</v>
      </c>
      <c r="F38" s="61" t="s">
        <v>147</v>
      </c>
      <c r="G38" s="61">
        <v>83.94</v>
      </c>
      <c r="H38" s="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5.0" customHeight="1">
      <c r="A39" s="7"/>
      <c r="B39" s="55"/>
      <c r="C39" s="7"/>
      <c r="D39" s="58"/>
      <c r="E39" s="58"/>
      <c r="F39" s="62" t="s">
        <v>150</v>
      </c>
      <c r="G39" s="63">
        <f>SUM(G2:G38)</f>
        <v>444.04</v>
      </c>
      <c r="H39" s="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5.0" customHeight="1">
      <c r="A40" s="7"/>
      <c r="B40" s="55"/>
      <c r="C40" s="7"/>
      <c r="D40" s="58"/>
      <c r="E40" s="58"/>
      <c r="F40" s="62"/>
      <c r="G40" s="64" t="s">
        <v>151</v>
      </c>
      <c r="H40" s="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5.0" customHeight="1">
      <c r="A41" s="7"/>
      <c r="B41" s="55"/>
      <c r="C41" s="65" t="s">
        <v>152</v>
      </c>
      <c r="D41" s="66"/>
      <c r="E41" s="66"/>
      <c r="F41" s="66"/>
      <c r="G41" s="66"/>
      <c r="H41" s="6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5.75" customHeight="1">
      <c r="A42" s="13"/>
      <c r="B42" s="68"/>
      <c r="C42" s="13"/>
      <c r="D42" s="69"/>
      <c r="E42" s="69"/>
      <c r="F42" s="70"/>
      <c r="G42" s="70"/>
      <c r="H42" s="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5.75" customHeight="1">
      <c r="A43" s="13"/>
      <c r="B43" s="68"/>
      <c r="C43" s="13"/>
      <c r="D43" s="69"/>
      <c r="E43" s="69"/>
      <c r="F43" s="70"/>
      <c r="G43" s="70"/>
      <c r="H43" s="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5.75" customHeight="1">
      <c r="A44" s="13"/>
      <c r="B44" s="68"/>
      <c r="C44" s="13"/>
      <c r="D44" s="69"/>
      <c r="E44" s="69"/>
      <c r="F44" s="70"/>
      <c r="G44" s="70"/>
      <c r="H44" s="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5.75" customHeight="1">
      <c r="A45" s="13"/>
      <c r="B45" s="68"/>
      <c r="C45" s="13"/>
      <c r="D45" s="69"/>
      <c r="E45" s="69"/>
      <c r="F45" s="70"/>
      <c r="G45" s="70"/>
      <c r="H45" s="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5.75" customHeight="1">
      <c r="A46" s="13"/>
      <c r="B46" s="68"/>
      <c r="C46" s="13"/>
      <c r="D46" s="69"/>
      <c r="E46" s="69"/>
      <c r="F46" s="70"/>
      <c r="G46" s="70"/>
      <c r="H46" s="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5.75" customHeight="1">
      <c r="A47" s="13"/>
      <c r="B47" s="68"/>
      <c r="C47" s="13"/>
      <c r="D47" s="69"/>
      <c r="E47" s="69"/>
      <c r="F47" s="70"/>
      <c r="G47" s="70"/>
      <c r="H47" s="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5.75" customHeight="1">
      <c r="A48" s="13"/>
      <c r="B48" s="68"/>
      <c r="C48" s="13"/>
      <c r="D48" s="69"/>
      <c r="E48" s="69"/>
      <c r="F48" s="70"/>
      <c r="G48" s="70"/>
      <c r="H48" s="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5.75" customHeight="1">
      <c r="A49" s="13"/>
      <c r="B49" s="68"/>
      <c r="C49" s="13"/>
      <c r="D49" s="69"/>
      <c r="E49" s="69"/>
      <c r="F49" s="70"/>
      <c r="G49" s="70"/>
      <c r="H49" s="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5.75" customHeight="1">
      <c r="A50" s="13"/>
      <c r="B50" s="68"/>
      <c r="C50" s="13"/>
      <c r="D50" s="69"/>
      <c r="E50" s="69"/>
      <c r="F50" s="70"/>
      <c r="G50" s="70"/>
      <c r="H50" s="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5.75" customHeight="1">
      <c r="A51" s="13"/>
      <c r="B51" s="68"/>
      <c r="C51" s="13"/>
      <c r="D51" s="69"/>
      <c r="E51" s="69"/>
      <c r="F51" s="70"/>
      <c r="G51" s="70"/>
      <c r="H51" s="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5.75" customHeight="1">
      <c r="A52" s="13"/>
      <c r="B52" s="68"/>
      <c r="C52" s="13"/>
      <c r="D52" s="69"/>
      <c r="E52" s="69"/>
      <c r="F52" s="70"/>
      <c r="G52" s="70"/>
      <c r="H52" s="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5.75" customHeight="1">
      <c r="A53" s="13"/>
      <c r="B53" s="68"/>
      <c r="C53" s="13"/>
      <c r="D53" s="69"/>
      <c r="E53" s="69"/>
      <c r="F53" s="70"/>
      <c r="G53" s="70"/>
      <c r="H53" s="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5.75" customHeight="1">
      <c r="A54" s="13"/>
      <c r="B54" s="68"/>
      <c r="C54" s="13"/>
      <c r="D54" s="69"/>
      <c r="E54" s="69"/>
      <c r="F54" s="70"/>
      <c r="G54" s="70"/>
      <c r="H54" s="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5.75" customHeight="1">
      <c r="A55" s="13"/>
      <c r="B55" s="68"/>
      <c r="C55" s="13"/>
      <c r="D55" s="69"/>
      <c r="E55" s="69"/>
      <c r="F55" s="70"/>
      <c r="G55" s="70"/>
      <c r="H55" s="2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5.75" customHeight="1">
      <c r="A56" s="13"/>
      <c r="B56" s="68"/>
      <c r="C56" s="13"/>
      <c r="D56" s="69"/>
      <c r="E56" s="69"/>
      <c r="F56" s="70"/>
      <c r="G56" s="70"/>
      <c r="H56" s="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5.75" customHeight="1">
      <c r="A57" s="13"/>
      <c r="B57" s="68"/>
      <c r="C57" s="13"/>
      <c r="D57" s="69"/>
      <c r="E57" s="69"/>
      <c r="F57" s="70"/>
      <c r="G57" s="70"/>
      <c r="H57" s="2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5.75" customHeight="1">
      <c r="A58" s="13"/>
      <c r="B58" s="68"/>
      <c r="C58" s="13"/>
      <c r="D58" s="69"/>
      <c r="E58" s="69"/>
      <c r="F58" s="70"/>
      <c r="G58" s="70"/>
      <c r="H58" s="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5.75" customHeight="1">
      <c r="A59" s="13"/>
      <c r="B59" s="68"/>
      <c r="C59" s="13"/>
      <c r="D59" s="69"/>
      <c r="E59" s="69"/>
      <c r="F59" s="70"/>
      <c r="G59" s="70"/>
      <c r="H59" s="2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5.75" customHeight="1">
      <c r="A60" s="13"/>
      <c r="B60" s="68"/>
      <c r="C60" s="13"/>
      <c r="D60" s="69"/>
      <c r="E60" s="69"/>
      <c r="F60" s="70"/>
      <c r="G60" s="70"/>
      <c r="H60" s="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5.75" customHeight="1">
      <c r="A61" s="13"/>
      <c r="B61" s="68"/>
      <c r="C61" s="13"/>
      <c r="D61" s="69"/>
      <c r="E61" s="69"/>
      <c r="F61" s="70"/>
      <c r="G61" s="70"/>
      <c r="H61" s="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5.75" customHeight="1">
      <c r="A62" s="13"/>
      <c r="B62" s="68"/>
      <c r="C62" s="13"/>
      <c r="D62" s="69"/>
      <c r="E62" s="69"/>
      <c r="F62" s="70"/>
      <c r="G62" s="70"/>
      <c r="H62" s="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5.75" customHeight="1">
      <c r="A63" s="13"/>
      <c r="B63" s="68"/>
      <c r="C63" s="13"/>
      <c r="D63" s="69"/>
      <c r="E63" s="69"/>
      <c r="F63" s="70"/>
      <c r="G63" s="70"/>
      <c r="H63" s="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5.75" customHeight="1">
      <c r="A64" s="13"/>
      <c r="B64" s="68"/>
      <c r="C64" s="13"/>
      <c r="D64" s="69"/>
      <c r="E64" s="69"/>
      <c r="F64" s="70"/>
      <c r="G64" s="70"/>
      <c r="H64" s="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5.75" customHeight="1">
      <c r="A65" s="13"/>
      <c r="B65" s="68"/>
      <c r="C65" s="13"/>
      <c r="D65" s="69"/>
      <c r="E65" s="69"/>
      <c r="F65" s="70"/>
      <c r="G65" s="70"/>
      <c r="H65" s="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5.75" customHeight="1">
      <c r="A66" s="13"/>
      <c r="B66" s="68"/>
      <c r="C66" s="13"/>
      <c r="D66" s="69"/>
      <c r="E66" s="69"/>
      <c r="F66" s="70"/>
      <c r="G66" s="70"/>
      <c r="H66" s="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5.75" customHeight="1">
      <c r="A67" s="13"/>
      <c r="B67" s="68"/>
      <c r="C67" s="13"/>
      <c r="D67" s="69"/>
      <c r="E67" s="69"/>
      <c r="F67" s="70"/>
      <c r="G67" s="70"/>
      <c r="H67" s="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5.75" customHeight="1">
      <c r="A68" s="13"/>
      <c r="B68" s="68"/>
      <c r="C68" s="13"/>
      <c r="D68" s="69"/>
      <c r="E68" s="69"/>
      <c r="F68" s="70"/>
      <c r="G68" s="70"/>
      <c r="H68" s="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5.75" customHeight="1">
      <c r="A69" s="13"/>
      <c r="B69" s="68"/>
      <c r="C69" s="13"/>
      <c r="D69" s="69"/>
      <c r="E69" s="69"/>
      <c r="F69" s="70"/>
      <c r="G69" s="70"/>
      <c r="H69" s="2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5.75" customHeight="1">
      <c r="A70" s="13"/>
      <c r="B70" s="68"/>
      <c r="C70" s="13"/>
      <c r="D70" s="69"/>
      <c r="E70" s="69"/>
      <c r="F70" s="70"/>
      <c r="G70" s="70"/>
      <c r="H70" s="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5.75" customHeight="1">
      <c r="A71" s="13"/>
      <c r="B71" s="68"/>
      <c r="C71" s="13"/>
      <c r="D71" s="69"/>
      <c r="E71" s="69"/>
      <c r="F71" s="70"/>
      <c r="G71" s="70"/>
      <c r="H71" s="2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5.75" customHeight="1">
      <c r="A72" s="13"/>
      <c r="B72" s="68"/>
      <c r="C72" s="13"/>
      <c r="D72" s="69"/>
      <c r="E72" s="69"/>
      <c r="F72" s="70"/>
      <c r="G72" s="70"/>
      <c r="H72" s="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5.75" customHeight="1">
      <c r="A73" s="13"/>
      <c r="B73" s="68"/>
      <c r="C73" s="13"/>
      <c r="D73" s="69"/>
      <c r="E73" s="69"/>
      <c r="F73" s="70"/>
      <c r="G73" s="70"/>
      <c r="H73" s="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5.75" customHeight="1">
      <c r="A74" s="13"/>
      <c r="B74" s="68"/>
      <c r="C74" s="13"/>
      <c r="D74" s="69"/>
      <c r="E74" s="69"/>
      <c r="F74" s="70"/>
      <c r="G74" s="70"/>
      <c r="H74" s="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5.75" customHeight="1">
      <c r="A75" s="13"/>
      <c r="B75" s="68"/>
      <c r="C75" s="13"/>
      <c r="D75" s="69"/>
      <c r="E75" s="69"/>
      <c r="F75" s="70"/>
      <c r="G75" s="70"/>
      <c r="H75" s="2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5.75" customHeight="1">
      <c r="A76" s="13"/>
      <c r="B76" s="68"/>
      <c r="C76" s="13"/>
      <c r="D76" s="69"/>
      <c r="E76" s="69"/>
      <c r="F76" s="70"/>
      <c r="G76" s="70"/>
      <c r="H76" s="2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5.75" customHeight="1">
      <c r="A77" s="13"/>
      <c r="B77" s="68"/>
      <c r="C77" s="13"/>
      <c r="D77" s="69"/>
      <c r="E77" s="69"/>
      <c r="F77" s="70"/>
      <c r="G77" s="70"/>
      <c r="H77" s="2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3"/>
      <c r="B78" s="68"/>
      <c r="C78" s="13"/>
      <c r="D78" s="69"/>
      <c r="E78" s="69"/>
      <c r="F78" s="70"/>
      <c r="G78" s="70"/>
      <c r="H78" s="2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3"/>
      <c r="B79" s="68"/>
      <c r="C79" s="13"/>
      <c r="D79" s="69"/>
      <c r="E79" s="69"/>
      <c r="F79" s="70"/>
      <c r="G79" s="70"/>
      <c r="H79" s="2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3"/>
      <c r="B80" s="68"/>
      <c r="C80" s="13"/>
      <c r="D80" s="69"/>
      <c r="E80" s="69"/>
      <c r="F80" s="70"/>
      <c r="G80" s="70"/>
      <c r="H80" s="2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3"/>
      <c r="B81" s="68"/>
      <c r="C81" s="13"/>
      <c r="D81" s="69"/>
      <c r="E81" s="69"/>
      <c r="F81" s="70"/>
      <c r="G81" s="70"/>
      <c r="H81" s="2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3"/>
      <c r="B82" s="68"/>
      <c r="C82" s="13"/>
      <c r="D82" s="69"/>
      <c r="E82" s="69"/>
      <c r="F82" s="70"/>
      <c r="G82" s="70"/>
      <c r="H82" s="2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3"/>
      <c r="B83" s="68"/>
      <c r="C83" s="13"/>
      <c r="D83" s="69"/>
      <c r="E83" s="69"/>
      <c r="F83" s="70"/>
      <c r="G83" s="70"/>
      <c r="H83" s="2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3"/>
      <c r="B84" s="68"/>
      <c r="C84" s="13"/>
      <c r="D84" s="69"/>
      <c r="E84" s="69"/>
      <c r="F84" s="70"/>
      <c r="G84" s="70"/>
      <c r="H84" s="2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3"/>
      <c r="B85" s="68"/>
      <c r="C85" s="13"/>
      <c r="D85" s="69"/>
      <c r="E85" s="69"/>
      <c r="F85" s="70"/>
      <c r="G85" s="70"/>
      <c r="H85" s="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3"/>
      <c r="B86" s="68"/>
      <c r="C86" s="13"/>
      <c r="D86" s="69"/>
      <c r="E86" s="69"/>
      <c r="F86" s="70"/>
      <c r="G86" s="70"/>
      <c r="H86" s="2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3"/>
      <c r="B87" s="68"/>
      <c r="C87" s="13"/>
      <c r="D87" s="69"/>
      <c r="E87" s="69"/>
      <c r="F87" s="70"/>
      <c r="G87" s="70"/>
      <c r="H87" s="2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3"/>
      <c r="B88" s="68"/>
      <c r="C88" s="13"/>
      <c r="D88" s="69"/>
      <c r="E88" s="69"/>
      <c r="F88" s="70"/>
      <c r="G88" s="70"/>
      <c r="H88" s="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3"/>
      <c r="B89" s="68"/>
      <c r="C89" s="13"/>
      <c r="D89" s="69"/>
      <c r="E89" s="69"/>
      <c r="F89" s="70"/>
      <c r="G89" s="70"/>
      <c r="H89" s="2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3"/>
      <c r="B90" s="68"/>
      <c r="C90" s="13"/>
      <c r="D90" s="69"/>
      <c r="E90" s="69"/>
      <c r="F90" s="70"/>
      <c r="G90" s="70"/>
      <c r="H90" s="2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3"/>
      <c r="B91" s="68"/>
      <c r="C91" s="13"/>
      <c r="D91" s="69"/>
      <c r="E91" s="69"/>
      <c r="F91" s="70"/>
      <c r="G91" s="70"/>
      <c r="H91" s="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3"/>
      <c r="B92" s="68"/>
      <c r="C92" s="13"/>
      <c r="D92" s="69"/>
      <c r="E92" s="69"/>
      <c r="F92" s="70"/>
      <c r="G92" s="70"/>
      <c r="H92" s="2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3"/>
      <c r="B93" s="68"/>
      <c r="C93" s="13"/>
      <c r="D93" s="69"/>
      <c r="E93" s="69"/>
      <c r="F93" s="70"/>
      <c r="G93" s="70"/>
      <c r="H93" s="2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3"/>
      <c r="B94" s="68"/>
      <c r="C94" s="13"/>
      <c r="D94" s="69"/>
      <c r="E94" s="69"/>
      <c r="F94" s="70"/>
      <c r="G94" s="70"/>
      <c r="H94" s="2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3"/>
      <c r="B95" s="68"/>
      <c r="C95" s="13"/>
      <c r="D95" s="69"/>
      <c r="E95" s="69"/>
      <c r="F95" s="70"/>
      <c r="G95" s="70"/>
      <c r="H95" s="2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3"/>
      <c r="B96" s="68"/>
      <c r="C96" s="13"/>
      <c r="D96" s="69"/>
      <c r="E96" s="69"/>
      <c r="F96" s="70"/>
      <c r="G96" s="70"/>
      <c r="H96" s="2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3"/>
      <c r="B97" s="68"/>
      <c r="C97" s="13"/>
      <c r="D97" s="69"/>
      <c r="E97" s="69"/>
      <c r="F97" s="70"/>
      <c r="G97" s="70"/>
      <c r="H97" s="2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3"/>
      <c r="B98" s="68"/>
      <c r="C98" s="13"/>
      <c r="D98" s="69"/>
      <c r="E98" s="69"/>
      <c r="F98" s="70"/>
      <c r="G98" s="70"/>
      <c r="H98" s="2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3"/>
      <c r="B99" s="68"/>
      <c r="C99" s="13"/>
      <c r="D99" s="69"/>
      <c r="E99" s="69"/>
      <c r="F99" s="70"/>
      <c r="G99" s="70"/>
      <c r="H99" s="2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3"/>
      <c r="B100" s="68"/>
      <c r="C100" s="13"/>
      <c r="D100" s="69"/>
      <c r="E100" s="69"/>
      <c r="F100" s="70"/>
      <c r="G100" s="70"/>
      <c r="H100" s="2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3"/>
      <c r="B101" s="68"/>
      <c r="C101" s="13"/>
      <c r="D101" s="69"/>
      <c r="E101" s="69"/>
      <c r="F101" s="70"/>
      <c r="G101" s="70"/>
      <c r="H101" s="2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3"/>
      <c r="B102" s="68"/>
      <c r="C102" s="13"/>
      <c r="D102" s="69"/>
      <c r="E102" s="69"/>
      <c r="F102" s="70"/>
      <c r="G102" s="70"/>
      <c r="H102" s="2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3"/>
      <c r="B103" s="68"/>
      <c r="C103" s="13"/>
      <c r="D103" s="69"/>
      <c r="E103" s="69"/>
      <c r="F103" s="70"/>
      <c r="G103" s="70"/>
      <c r="H103" s="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3"/>
      <c r="B104" s="68"/>
      <c r="C104" s="13"/>
      <c r="D104" s="69"/>
      <c r="E104" s="69"/>
      <c r="F104" s="70"/>
      <c r="G104" s="70"/>
      <c r="H104" s="2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3"/>
      <c r="B105" s="68"/>
      <c r="C105" s="13"/>
      <c r="D105" s="69"/>
      <c r="E105" s="69"/>
      <c r="F105" s="70"/>
      <c r="G105" s="70"/>
      <c r="H105" s="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3"/>
      <c r="B106" s="68"/>
      <c r="C106" s="13"/>
      <c r="D106" s="69"/>
      <c r="E106" s="69"/>
      <c r="F106" s="70"/>
      <c r="G106" s="70"/>
      <c r="H106" s="2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3"/>
      <c r="B107" s="68"/>
      <c r="C107" s="13"/>
      <c r="D107" s="69"/>
      <c r="E107" s="69"/>
      <c r="F107" s="70"/>
      <c r="G107" s="70"/>
      <c r="H107" s="2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3"/>
      <c r="B108" s="68"/>
      <c r="C108" s="13"/>
      <c r="D108" s="69"/>
      <c r="E108" s="69"/>
      <c r="F108" s="70"/>
      <c r="G108" s="70"/>
      <c r="H108" s="2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3"/>
      <c r="B109" s="68"/>
      <c r="C109" s="13"/>
      <c r="D109" s="69"/>
      <c r="E109" s="69"/>
      <c r="F109" s="70"/>
      <c r="G109" s="70"/>
      <c r="H109" s="2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3"/>
      <c r="B110" s="68"/>
      <c r="C110" s="13"/>
      <c r="D110" s="69"/>
      <c r="E110" s="69"/>
      <c r="F110" s="70"/>
      <c r="G110" s="70"/>
      <c r="H110" s="2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3"/>
      <c r="B111" s="68"/>
      <c r="C111" s="13"/>
      <c r="D111" s="69"/>
      <c r="E111" s="69"/>
      <c r="F111" s="70"/>
      <c r="G111" s="70"/>
      <c r="H111" s="2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3"/>
      <c r="B112" s="68"/>
      <c r="C112" s="13"/>
      <c r="D112" s="69"/>
      <c r="E112" s="69"/>
      <c r="F112" s="70"/>
      <c r="G112" s="70"/>
      <c r="H112" s="2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3"/>
      <c r="B113" s="68"/>
      <c r="C113" s="13"/>
      <c r="D113" s="69"/>
      <c r="E113" s="69"/>
      <c r="F113" s="70"/>
      <c r="G113" s="70"/>
      <c r="H113" s="2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3"/>
      <c r="B114" s="68"/>
      <c r="C114" s="13"/>
      <c r="D114" s="69"/>
      <c r="E114" s="69"/>
      <c r="F114" s="70"/>
      <c r="G114" s="70"/>
      <c r="H114" s="2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3"/>
      <c r="B115" s="68"/>
      <c r="C115" s="13"/>
      <c r="D115" s="69"/>
      <c r="E115" s="69"/>
      <c r="F115" s="70"/>
      <c r="G115" s="70"/>
      <c r="H115" s="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3"/>
      <c r="B116" s="68"/>
      <c r="C116" s="13"/>
      <c r="D116" s="69"/>
      <c r="E116" s="69"/>
      <c r="F116" s="70"/>
      <c r="G116" s="70"/>
      <c r="H116" s="2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3"/>
      <c r="B117" s="68"/>
      <c r="C117" s="13"/>
      <c r="D117" s="69"/>
      <c r="E117" s="69"/>
      <c r="F117" s="70"/>
      <c r="G117" s="70"/>
      <c r="H117" s="2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3"/>
      <c r="B118" s="68"/>
      <c r="C118" s="13"/>
      <c r="D118" s="69"/>
      <c r="E118" s="69"/>
      <c r="F118" s="70"/>
      <c r="G118" s="70"/>
      <c r="H118" s="2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3"/>
      <c r="B119" s="68"/>
      <c r="C119" s="13"/>
      <c r="D119" s="69"/>
      <c r="E119" s="69"/>
      <c r="F119" s="70"/>
      <c r="G119" s="70"/>
      <c r="H119" s="2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3"/>
      <c r="B120" s="68"/>
      <c r="C120" s="13"/>
      <c r="D120" s="69"/>
      <c r="E120" s="69"/>
      <c r="F120" s="70"/>
      <c r="G120" s="70"/>
      <c r="H120" s="2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3"/>
      <c r="B121" s="68"/>
      <c r="C121" s="13"/>
      <c r="D121" s="69"/>
      <c r="E121" s="69"/>
      <c r="F121" s="70"/>
      <c r="G121" s="70"/>
      <c r="H121" s="2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3"/>
      <c r="B122" s="68"/>
      <c r="C122" s="13"/>
      <c r="D122" s="69"/>
      <c r="E122" s="69"/>
      <c r="F122" s="70"/>
      <c r="G122" s="70"/>
      <c r="H122" s="2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3"/>
      <c r="B123" s="68"/>
      <c r="C123" s="13"/>
      <c r="D123" s="69"/>
      <c r="E123" s="69"/>
      <c r="F123" s="70"/>
      <c r="G123" s="70"/>
      <c r="H123" s="2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3"/>
      <c r="B124" s="68"/>
      <c r="C124" s="13"/>
      <c r="D124" s="69"/>
      <c r="E124" s="69"/>
      <c r="F124" s="70"/>
      <c r="G124" s="70"/>
      <c r="H124" s="2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3"/>
      <c r="B125" s="68"/>
      <c r="C125" s="13"/>
      <c r="D125" s="69"/>
      <c r="E125" s="69"/>
      <c r="F125" s="70"/>
      <c r="G125" s="70"/>
      <c r="H125" s="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3"/>
      <c r="B126" s="68"/>
      <c r="C126" s="13"/>
      <c r="D126" s="69"/>
      <c r="E126" s="69"/>
      <c r="F126" s="70"/>
      <c r="G126" s="70"/>
      <c r="H126" s="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3"/>
      <c r="B127" s="68"/>
      <c r="C127" s="13"/>
      <c r="D127" s="69"/>
      <c r="E127" s="69"/>
      <c r="F127" s="70"/>
      <c r="G127" s="70"/>
      <c r="H127" s="2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3"/>
      <c r="B128" s="68"/>
      <c r="C128" s="13"/>
      <c r="D128" s="69"/>
      <c r="E128" s="69"/>
      <c r="F128" s="70"/>
      <c r="G128" s="70"/>
      <c r="H128" s="2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3"/>
      <c r="B129" s="68"/>
      <c r="C129" s="13"/>
      <c r="D129" s="69"/>
      <c r="E129" s="69"/>
      <c r="F129" s="70"/>
      <c r="G129" s="70"/>
      <c r="H129" s="2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3"/>
      <c r="B130" s="68"/>
      <c r="C130" s="13"/>
      <c r="D130" s="69"/>
      <c r="E130" s="69"/>
      <c r="F130" s="70"/>
      <c r="G130" s="70"/>
      <c r="H130" s="2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3"/>
      <c r="B131" s="68"/>
      <c r="C131" s="13"/>
      <c r="D131" s="69"/>
      <c r="E131" s="69"/>
      <c r="F131" s="70"/>
      <c r="G131" s="70"/>
      <c r="H131" s="2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3"/>
      <c r="B132" s="68"/>
      <c r="C132" s="13"/>
      <c r="D132" s="69"/>
      <c r="E132" s="69"/>
      <c r="F132" s="70"/>
      <c r="G132" s="70"/>
      <c r="H132" s="2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3"/>
      <c r="B133" s="68"/>
      <c r="C133" s="13"/>
      <c r="D133" s="69"/>
      <c r="E133" s="69"/>
      <c r="F133" s="70"/>
      <c r="G133" s="70"/>
      <c r="H133" s="2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3"/>
      <c r="B134" s="68"/>
      <c r="C134" s="13"/>
      <c r="D134" s="69"/>
      <c r="E134" s="69"/>
      <c r="F134" s="70"/>
      <c r="G134" s="70"/>
      <c r="H134" s="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3"/>
      <c r="B135" s="68"/>
      <c r="C135" s="13"/>
      <c r="D135" s="69"/>
      <c r="E135" s="69"/>
      <c r="F135" s="70"/>
      <c r="G135" s="70"/>
      <c r="H135" s="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3"/>
      <c r="B136" s="68"/>
      <c r="C136" s="13"/>
      <c r="D136" s="69"/>
      <c r="E136" s="69"/>
      <c r="F136" s="70"/>
      <c r="G136" s="70"/>
      <c r="H136" s="2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3"/>
      <c r="B137" s="68"/>
      <c r="C137" s="13"/>
      <c r="D137" s="69"/>
      <c r="E137" s="69"/>
      <c r="F137" s="70"/>
      <c r="G137" s="70"/>
      <c r="H137" s="2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3"/>
      <c r="B138" s="68"/>
      <c r="C138" s="13"/>
      <c r="D138" s="69"/>
      <c r="E138" s="69"/>
      <c r="F138" s="70"/>
      <c r="G138" s="70"/>
      <c r="H138" s="2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3"/>
      <c r="B139" s="68"/>
      <c r="C139" s="13"/>
      <c r="D139" s="69"/>
      <c r="E139" s="69"/>
      <c r="F139" s="70"/>
      <c r="G139" s="70"/>
      <c r="H139" s="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3"/>
      <c r="B140" s="68"/>
      <c r="C140" s="13"/>
      <c r="D140" s="69"/>
      <c r="E140" s="69"/>
      <c r="F140" s="70"/>
      <c r="G140" s="70"/>
      <c r="H140" s="2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3"/>
      <c r="B141" s="68"/>
      <c r="C141" s="13"/>
      <c r="D141" s="69"/>
      <c r="E141" s="69"/>
      <c r="F141" s="70"/>
      <c r="G141" s="70"/>
      <c r="H141" s="2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3"/>
      <c r="B142" s="68"/>
      <c r="C142" s="13"/>
      <c r="D142" s="69"/>
      <c r="E142" s="69"/>
      <c r="F142" s="70"/>
      <c r="G142" s="70"/>
      <c r="H142" s="2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3"/>
      <c r="B143" s="68"/>
      <c r="C143" s="13"/>
      <c r="D143" s="69"/>
      <c r="E143" s="69"/>
      <c r="F143" s="70"/>
      <c r="G143" s="70"/>
      <c r="H143" s="2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3"/>
      <c r="B144" s="68"/>
      <c r="C144" s="13"/>
      <c r="D144" s="69"/>
      <c r="E144" s="69"/>
      <c r="F144" s="70"/>
      <c r="G144" s="70"/>
      <c r="H144" s="2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3"/>
      <c r="B145" s="68"/>
      <c r="C145" s="13"/>
      <c r="D145" s="69"/>
      <c r="E145" s="69"/>
      <c r="F145" s="70"/>
      <c r="G145" s="70"/>
      <c r="H145" s="2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3"/>
      <c r="B146" s="68"/>
      <c r="C146" s="13"/>
      <c r="D146" s="69"/>
      <c r="E146" s="69"/>
      <c r="F146" s="70"/>
      <c r="G146" s="70"/>
      <c r="H146" s="2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3"/>
      <c r="B147" s="68"/>
      <c r="C147" s="13"/>
      <c r="D147" s="69"/>
      <c r="E147" s="69"/>
      <c r="F147" s="70"/>
      <c r="G147" s="70"/>
      <c r="H147" s="2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3"/>
      <c r="B148" s="68"/>
      <c r="C148" s="13"/>
      <c r="D148" s="69"/>
      <c r="E148" s="69"/>
      <c r="F148" s="70"/>
      <c r="G148" s="70"/>
      <c r="H148" s="2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3"/>
      <c r="B149" s="68"/>
      <c r="C149" s="13"/>
      <c r="D149" s="69"/>
      <c r="E149" s="69"/>
      <c r="F149" s="70"/>
      <c r="G149" s="70"/>
      <c r="H149" s="2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3"/>
      <c r="B150" s="68"/>
      <c r="C150" s="13"/>
      <c r="D150" s="69"/>
      <c r="E150" s="69"/>
      <c r="F150" s="70"/>
      <c r="G150" s="70"/>
      <c r="H150" s="2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3"/>
      <c r="B151" s="68"/>
      <c r="C151" s="13"/>
      <c r="D151" s="69"/>
      <c r="E151" s="69"/>
      <c r="F151" s="70"/>
      <c r="G151" s="70"/>
      <c r="H151" s="2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3"/>
      <c r="B152" s="68"/>
      <c r="C152" s="13"/>
      <c r="D152" s="69"/>
      <c r="E152" s="69"/>
      <c r="F152" s="70"/>
      <c r="G152" s="70"/>
      <c r="H152" s="2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3"/>
      <c r="B153" s="68"/>
      <c r="C153" s="13"/>
      <c r="D153" s="69"/>
      <c r="E153" s="69"/>
      <c r="F153" s="70"/>
      <c r="G153" s="70"/>
      <c r="H153" s="2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3"/>
      <c r="B154" s="68"/>
      <c r="C154" s="13"/>
      <c r="D154" s="69"/>
      <c r="E154" s="69"/>
      <c r="F154" s="70"/>
      <c r="G154" s="70"/>
      <c r="H154" s="2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3"/>
      <c r="B155" s="68"/>
      <c r="C155" s="13"/>
      <c r="D155" s="69"/>
      <c r="E155" s="69"/>
      <c r="F155" s="70"/>
      <c r="G155" s="70"/>
      <c r="H155" s="2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3"/>
      <c r="B156" s="68"/>
      <c r="C156" s="13"/>
      <c r="D156" s="69"/>
      <c r="E156" s="69"/>
      <c r="F156" s="70"/>
      <c r="G156" s="70"/>
      <c r="H156" s="2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3"/>
      <c r="B157" s="68"/>
      <c r="C157" s="13"/>
      <c r="D157" s="69"/>
      <c r="E157" s="69"/>
      <c r="F157" s="70"/>
      <c r="G157" s="70"/>
      <c r="H157" s="2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3"/>
      <c r="B158" s="68"/>
      <c r="C158" s="13"/>
      <c r="D158" s="69"/>
      <c r="E158" s="69"/>
      <c r="F158" s="70"/>
      <c r="G158" s="70"/>
      <c r="H158" s="2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3"/>
      <c r="B159" s="68"/>
      <c r="C159" s="13"/>
      <c r="D159" s="69"/>
      <c r="E159" s="69"/>
      <c r="F159" s="70"/>
      <c r="G159" s="70"/>
      <c r="H159" s="2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3"/>
      <c r="B160" s="68"/>
      <c r="C160" s="13"/>
      <c r="D160" s="69"/>
      <c r="E160" s="69"/>
      <c r="F160" s="70"/>
      <c r="G160" s="70"/>
      <c r="H160" s="2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3"/>
      <c r="B161" s="68"/>
      <c r="C161" s="13"/>
      <c r="D161" s="69"/>
      <c r="E161" s="69"/>
      <c r="F161" s="70"/>
      <c r="G161" s="70"/>
      <c r="H161" s="2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3"/>
      <c r="B162" s="68"/>
      <c r="C162" s="13"/>
      <c r="D162" s="69"/>
      <c r="E162" s="69"/>
      <c r="F162" s="70"/>
      <c r="G162" s="70"/>
      <c r="H162" s="2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3"/>
      <c r="B163" s="68"/>
      <c r="C163" s="13"/>
      <c r="D163" s="69"/>
      <c r="E163" s="69"/>
      <c r="F163" s="70"/>
      <c r="G163" s="70"/>
      <c r="H163" s="2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3"/>
      <c r="B164" s="68"/>
      <c r="C164" s="13"/>
      <c r="D164" s="69"/>
      <c r="E164" s="69"/>
      <c r="F164" s="70"/>
      <c r="G164" s="70"/>
      <c r="H164" s="2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3"/>
      <c r="B165" s="68"/>
      <c r="C165" s="13"/>
      <c r="D165" s="69"/>
      <c r="E165" s="69"/>
      <c r="F165" s="70"/>
      <c r="G165" s="70"/>
      <c r="H165" s="2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3"/>
      <c r="B166" s="68"/>
      <c r="C166" s="13"/>
      <c r="D166" s="69"/>
      <c r="E166" s="69"/>
      <c r="F166" s="70"/>
      <c r="G166" s="70"/>
      <c r="H166" s="2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3"/>
      <c r="B167" s="68"/>
      <c r="C167" s="13"/>
      <c r="D167" s="69"/>
      <c r="E167" s="69"/>
      <c r="F167" s="70"/>
      <c r="G167" s="70"/>
      <c r="H167" s="2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3"/>
      <c r="B168" s="68"/>
      <c r="C168" s="13"/>
      <c r="D168" s="69"/>
      <c r="E168" s="69"/>
      <c r="F168" s="70"/>
      <c r="G168" s="70"/>
      <c r="H168" s="2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3"/>
      <c r="B169" s="68"/>
      <c r="C169" s="13"/>
      <c r="D169" s="69"/>
      <c r="E169" s="69"/>
      <c r="F169" s="70"/>
      <c r="G169" s="70"/>
      <c r="H169" s="2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3"/>
      <c r="B170" s="68"/>
      <c r="C170" s="13"/>
      <c r="D170" s="69"/>
      <c r="E170" s="69"/>
      <c r="F170" s="70"/>
      <c r="G170" s="70"/>
      <c r="H170" s="2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3"/>
      <c r="B171" s="68"/>
      <c r="C171" s="13"/>
      <c r="D171" s="69"/>
      <c r="E171" s="69"/>
      <c r="F171" s="70"/>
      <c r="G171" s="70"/>
      <c r="H171" s="2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3"/>
      <c r="B172" s="68"/>
      <c r="C172" s="13"/>
      <c r="D172" s="69"/>
      <c r="E172" s="69"/>
      <c r="F172" s="70"/>
      <c r="G172" s="70"/>
      <c r="H172" s="2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3"/>
      <c r="B173" s="68"/>
      <c r="C173" s="13"/>
      <c r="D173" s="69"/>
      <c r="E173" s="69"/>
      <c r="F173" s="70"/>
      <c r="G173" s="70"/>
      <c r="H173" s="2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3"/>
      <c r="B174" s="68"/>
      <c r="C174" s="13"/>
      <c r="D174" s="69"/>
      <c r="E174" s="69"/>
      <c r="F174" s="70"/>
      <c r="G174" s="70"/>
      <c r="H174" s="2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3"/>
      <c r="B175" s="68"/>
      <c r="C175" s="13"/>
      <c r="D175" s="69"/>
      <c r="E175" s="69"/>
      <c r="F175" s="70"/>
      <c r="G175" s="70"/>
      <c r="H175" s="2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3"/>
      <c r="B176" s="68"/>
      <c r="C176" s="13"/>
      <c r="D176" s="69"/>
      <c r="E176" s="69"/>
      <c r="F176" s="70"/>
      <c r="G176" s="70"/>
      <c r="H176" s="2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3"/>
      <c r="B177" s="68"/>
      <c r="C177" s="13"/>
      <c r="D177" s="69"/>
      <c r="E177" s="69"/>
      <c r="F177" s="70"/>
      <c r="G177" s="70"/>
      <c r="H177" s="2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3"/>
      <c r="B178" s="68"/>
      <c r="C178" s="13"/>
      <c r="D178" s="69"/>
      <c r="E178" s="69"/>
      <c r="F178" s="70"/>
      <c r="G178" s="70"/>
      <c r="H178" s="2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3"/>
      <c r="B179" s="68"/>
      <c r="C179" s="13"/>
      <c r="D179" s="69"/>
      <c r="E179" s="69"/>
      <c r="F179" s="70"/>
      <c r="G179" s="70"/>
      <c r="H179" s="2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3"/>
      <c r="B180" s="68"/>
      <c r="C180" s="13"/>
      <c r="D180" s="69"/>
      <c r="E180" s="69"/>
      <c r="F180" s="70"/>
      <c r="G180" s="70"/>
      <c r="H180" s="2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3"/>
      <c r="B181" s="68"/>
      <c r="C181" s="13"/>
      <c r="D181" s="69"/>
      <c r="E181" s="69"/>
      <c r="F181" s="70"/>
      <c r="G181" s="70"/>
      <c r="H181" s="2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3"/>
      <c r="B182" s="68"/>
      <c r="C182" s="13"/>
      <c r="D182" s="69"/>
      <c r="E182" s="69"/>
      <c r="F182" s="70"/>
      <c r="G182" s="70"/>
      <c r="H182" s="2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3"/>
      <c r="B183" s="68"/>
      <c r="C183" s="13"/>
      <c r="D183" s="69"/>
      <c r="E183" s="69"/>
      <c r="F183" s="70"/>
      <c r="G183" s="70"/>
      <c r="H183" s="2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3"/>
      <c r="B184" s="68"/>
      <c r="C184" s="13"/>
      <c r="D184" s="69"/>
      <c r="E184" s="69"/>
      <c r="F184" s="70"/>
      <c r="G184" s="70"/>
      <c r="H184" s="2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3"/>
      <c r="B185" s="68"/>
      <c r="C185" s="13"/>
      <c r="D185" s="69"/>
      <c r="E185" s="69"/>
      <c r="F185" s="70"/>
      <c r="G185" s="70"/>
      <c r="H185" s="2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3"/>
      <c r="B186" s="68"/>
      <c r="C186" s="13"/>
      <c r="D186" s="69"/>
      <c r="E186" s="69"/>
      <c r="F186" s="70"/>
      <c r="G186" s="70"/>
      <c r="H186" s="2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3"/>
      <c r="B187" s="68"/>
      <c r="C187" s="13"/>
      <c r="D187" s="69"/>
      <c r="E187" s="69"/>
      <c r="F187" s="70"/>
      <c r="G187" s="70"/>
      <c r="H187" s="2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3"/>
      <c r="B188" s="68"/>
      <c r="C188" s="13"/>
      <c r="D188" s="69"/>
      <c r="E188" s="69"/>
      <c r="F188" s="70"/>
      <c r="G188" s="70"/>
      <c r="H188" s="2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3"/>
      <c r="B189" s="68"/>
      <c r="C189" s="13"/>
      <c r="D189" s="69"/>
      <c r="E189" s="69"/>
      <c r="F189" s="70"/>
      <c r="G189" s="70"/>
      <c r="H189" s="2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3"/>
      <c r="B190" s="68"/>
      <c r="C190" s="13"/>
      <c r="D190" s="69"/>
      <c r="E190" s="69"/>
      <c r="F190" s="70"/>
      <c r="G190" s="70"/>
      <c r="H190" s="2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3"/>
      <c r="B191" s="68"/>
      <c r="C191" s="13"/>
      <c r="D191" s="69"/>
      <c r="E191" s="69"/>
      <c r="F191" s="70"/>
      <c r="G191" s="70"/>
      <c r="H191" s="2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5.75" customHeight="1">
      <c r="A192" s="13"/>
      <c r="B192" s="68"/>
      <c r="C192" s="13"/>
      <c r="D192" s="69"/>
      <c r="E192" s="69"/>
      <c r="F192" s="70"/>
      <c r="G192" s="70"/>
      <c r="H192" s="2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5.75" customHeight="1">
      <c r="A193" s="13"/>
      <c r="B193" s="68"/>
      <c r="C193" s="13"/>
      <c r="D193" s="69"/>
      <c r="E193" s="69"/>
      <c r="F193" s="70"/>
      <c r="G193" s="70"/>
      <c r="H193" s="2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5.75" customHeight="1">
      <c r="A194" s="13"/>
      <c r="B194" s="68"/>
      <c r="C194" s="13"/>
      <c r="D194" s="69"/>
      <c r="E194" s="69"/>
      <c r="F194" s="70"/>
      <c r="G194" s="70"/>
      <c r="H194" s="2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3"/>
      <c r="B195" s="68"/>
      <c r="C195" s="13"/>
      <c r="D195" s="69"/>
      <c r="E195" s="69"/>
      <c r="F195" s="70"/>
      <c r="G195" s="70"/>
      <c r="H195" s="2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3"/>
      <c r="B196" s="68"/>
      <c r="C196" s="13"/>
      <c r="D196" s="69"/>
      <c r="E196" s="69"/>
      <c r="F196" s="70"/>
      <c r="G196" s="70"/>
      <c r="H196" s="2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3"/>
      <c r="B197" s="68"/>
      <c r="C197" s="13"/>
      <c r="D197" s="69"/>
      <c r="E197" s="69"/>
      <c r="F197" s="70"/>
      <c r="G197" s="70"/>
      <c r="H197" s="2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5.75" customHeight="1">
      <c r="A198" s="13"/>
      <c r="B198" s="68"/>
      <c r="C198" s="13"/>
      <c r="D198" s="69"/>
      <c r="E198" s="69"/>
      <c r="F198" s="70"/>
      <c r="G198" s="70"/>
      <c r="H198" s="2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5.75" customHeight="1">
      <c r="A199" s="13"/>
      <c r="B199" s="68"/>
      <c r="C199" s="13"/>
      <c r="D199" s="69"/>
      <c r="E199" s="69"/>
      <c r="F199" s="70"/>
      <c r="G199" s="70"/>
      <c r="H199" s="2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5.75" customHeight="1">
      <c r="A200" s="13"/>
      <c r="B200" s="68"/>
      <c r="C200" s="13"/>
      <c r="D200" s="69"/>
      <c r="E200" s="69"/>
      <c r="F200" s="70"/>
      <c r="G200" s="70"/>
      <c r="H200" s="2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5.75" customHeight="1">
      <c r="A201" s="13"/>
      <c r="B201" s="68"/>
      <c r="C201" s="13"/>
      <c r="D201" s="69"/>
      <c r="E201" s="69"/>
      <c r="F201" s="70"/>
      <c r="G201" s="70"/>
      <c r="H201" s="2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5.75" customHeight="1">
      <c r="A202" s="13"/>
      <c r="B202" s="68"/>
      <c r="C202" s="13"/>
      <c r="D202" s="69"/>
      <c r="E202" s="69"/>
      <c r="F202" s="70"/>
      <c r="G202" s="70"/>
      <c r="H202" s="2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5.75" customHeight="1">
      <c r="A203" s="13"/>
      <c r="B203" s="68"/>
      <c r="C203" s="13"/>
      <c r="D203" s="69"/>
      <c r="E203" s="69"/>
      <c r="F203" s="70"/>
      <c r="G203" s="70"/>
      <c r="H203" s="2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5.75" customHeight="1">
      <c r="A204" s="13"/>
      <c r="B204" s="68"/>
      <c r="C204" s="13"/>
      <c r="D204" s="69"/>
      <c r="E204" s="69"/>
      <c r="F204" s="70"/>
      <c r="G204" s="70"/>
      <c r="H204" s="2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5.75" customHeight="1">
      <c r="A205" s="13"/>
      <c r="B205" s="68"/>
      <c r="C205" s="13"/>
      <c r="D205" s="69"/>
      <c r="E205" s="69"/>
      <c r="F205" s="70"/>
      <c r="G205" s="70"/>
      <c r="H205" s="2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5.75" customHeight="1">
      <c r="A206" s="13"/>
      <c r="B206" s="68"/>
      <c r="C206" s="13"/>
      <c r="D206" s="69"/>
      <c r="E206" s="69"/>
      <c r="F206" s="70"/>
      <c r="G206" s="70"/>
      <c r="H206" s="2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5.75" customHeight="1">
      <c r="A207" s="13"/>
      <c r="B207" s="68"/>
      <c r="C207" s="13"/>
      <c r="D207" s="69"/>
      <c r="E207" s="69"/>
      <c r="F207" s="70"/>
      <c r="G207" s="70"/>
      <c r="H207" s="2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5.75" customHeight="1">
      <c r="A208" s="13"/>
      <c r="B208" s="68"/>
      <c r="C208" s="13"/>
      <c r="D208" s="69"/>
      <c r="E208" s="69"/>
      <c r="F208" s="70"/>
      <c r="G208" s="70"/>
      <c r="H208" s="2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5.75" customHeight="1">
      <c r="A209" s="13"/>
      <c r="B209" s="68"/>
      <c r="C209" s="13"/>
      <c r="D209" s="69"/>
      <c r="E209" s="69"/>
      <c r="F209" s="70"/>
      <c r="G209" s="70"/>
      <c r="H209" s="2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5.75" customHeight="1">
      <c r="A210" s="13"/>
      <c r="B210" s="68"/>
      <c r="C210" s="13"/>
      <c r="D210" s="69"/>
      <c r="E210" s="69"/>
      <c r="F210" s="70"/>
      <c r="G210" s="70"/>
      <c r="H210" s="2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5.75" customHeight="1">
      <c r="A211" s="13"/>
      <c r="B211" s="68"/>
      <c r="C211" s="13"/>
      <c r="D211" s="69"/>
      <c r="E211" s="69"/>
      <c r="F211" s="70"/>
      <c r="G211" s="70"/>
      <c r="H211" s="2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5.75" customHeight="1">
      <c r="A212" s="13"/>
      <c r="B212" s="68"/>
      <c r="C212" s="13"/>
      <c r="D212" s="69"/>
      <c r="E212" s="69"/>
      <c r="F212" s="70"/>
      <c r="G212" s="70"/>
      <c r="H212" s="2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5.75" customHeight="1">
      <c r="A213" s="13"/>
      <c r="B213" s="68"/>
      <c r="C213" s="13"/>
      <c r="D213" s="69"/>
      <c r="E213" s="69"/>
      <c r="F213" s="70"/>
      <c r="G213" s="70"/>
      <c r="H213" s="2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5.75" customHeight="1">
      <c r="A214" s="13"/>
      <c r="B214" s="68"/>
      <c r="C214" s="13"/>
      <c r="D214" s="69"/>
      <c r="E214" s="69"/>
      <c r="F214" s="70"/>
      <c r="G214" s="70"/>
      <c r="H214" s="2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5.75" customHeight="1">
      <c r="A215" s="13"/>
      <c r="B215" s="68"/>
      <c r="C215" s="13"/>
      <c r="D215" s="69"/>
      <c r="E215" s="69"/>
      <c r="F215" s="70"/>
      <c r="G215" s="70"/>
      <c r="H215" s="2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5.75" customHeight="1">
      <c r="A216" s="13"/>
      <c r="B216" s="68"/>
      <c r="C216" s="13"/>
      <c r="D216" s="69"/>
      <c r="E216" s="69"/>
      <c r="F216" s="70"/>
      <c r="G216" s="70"/>
      <c r="H216" s="2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5.75" customHeight="1">
      <c r="A217" s="13"/>
      <c r="B217" s="68"/>
      <c r="C217" s="13"/>
      <c r="D217" s="69"/>
      <c r="E217" s="69"/>
      <c r="F217" s="70"/>
      <c r="G217" s="70"/>
      <c r="H217" s="2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5.75" customHeight="1">
      <c r="A218" s="13"/>
      <c r="B218" s="68"/>
      <c r="C218" s="13"/>
      <c r="D218" s="69"/>
      <c r="E218" s="69"/>
      <c r="F218" s="70"/>
      <c r="G218" s="70"/>
      <c r="H218" s="2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5.75" customHeight="1">
      <c r="A219" s="13"/>
      <c r="B219" s="68"/>
      <c r="C219" s="13"/>
      <c r="D219" s="69"/>
      <c r="E219" s="69"/>
      <c r="F219" s="70"/>
      <c r="G219" s="70"/>
      <c r="H219" s="2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5.75" customHeight="1">
      <c r="A220" s="13"/>
      <c r="B220" s="68"/>
      <c r="C220" s="13"/>
      <c r="D220" s="69"/>
      <c r="E220" s="69"/>
      <c r="F220" s="70"/>
      <c r="G220" s="70"/>
      <c r="H220" s="2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5.75" customHeight="1">
      <c r="A221" s="13"/>
      <c r="B221" s="68"/>
      <c r="C221" s="13"/>
      <c r="D221" s="69"/>
      <c r="E221" s="69"/>
      <c r="F221" s="70"/>
      <c r="G221" s="70"/>
      <c r="H221" s="2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15.75" customHeight="1">
      <c r="A222" s="13"/>
      <c r="B222" s="68"/>
      <c r="C222" s="13"/>
      <c r="D222" s="69"/>
      <c r="E222" s="69"/>
      <c r="F222" s="70"/>
      <c r="G222" s="70"/>
      <c r="H222" s="2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ht="15.75" customHeight="1">
      <c r="A223" s="13"/>
      <c r="B223" s="68"/>
      <c r="C223" s="13"/>
      <c r="D223" s="69"/>
      <c r="E223" s="69"/>
      <c r="F223" s="70"/>
      <c r="G223" s="70"/>
      <c r="H223" s="2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ht="15.75" customHeight="1">
      <c r="A224" s="13"/>
      <c r="B224" s="68"/>
      <c r="C224" s="13"/>
      <c r="D224" s="69"/>
      <c r="E224" s="69"/>
      <c r="F224" s="70"/>
      <c r="G224" s="70"/>
      <c r="H224" s="2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15.75" customHeight="1">
      <c r="A225" s="13"/>
      <c r="B225" s="68"/>
      <c r="C225" s="13"/>
      <c r="D225" s="69"/>
      <c r="E225" s="69"/>
      <c r="F225" s="70"/>
      <c r="G225" s="70"/>
      <c r="H225" s="2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15.75" customHeight="1">
      <c r="A226" s="13"/>
      <c r="B226" s="68"/>
      <c r="C226" s="13"/>
      <c r="D226" s="69"/>
      <c r="E226" s="69"/>
      <c r="F226" s="70"/>
      <c r="G226" s="70"/>
      <c r="H226" s="2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15.75" customHeight="1">
      <c r="A227" s="13"/>
      <c r="B227" s="68"/>
      <c r="C227" s="13"/>
      <c r="D227" s="69"/>
      <c r="E227" s="69"/>
      <c r="F227" s="70"/>
      <c r="G227" s="70"/>
      <c r="H227" s="2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15.75" customHeight="1">
      <c r="A228" s="13"/>
      <c r="B228" s="68"/>
      <c r="C228" s="13"/>
      <c r="D228" s="69"/>
      <c r="E228" s="69"/>
      <c r="F228" s="70"/>
      <c r="G228" s="70"/>
      <c r="H228" s="2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15.75" customHeight="1">
      <c r="A229" s="13"/>
      <c r="B229" s="68"/>
      <c r="C229" s="13"/>
      <c r="D229" s="69"/>
      <c r="E229" s="69"/>
      <c r="F229" s="70"/>
      <c r="G229" s="70"/>
      <c r="H229" s="2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15.75" customHeight="1">
      <c r="A230" s="13"/>
      <c r="B230" s="68"/>
      <c r="C230" s="13"/>
      <c r="D230" s="69"/>
      <c r="E230" s="69"/>
      <c r="F230" s="70"/>
      <c r="G230" s="70"/>
      <c r="H230" s="2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15.75" customHeight="1">
      <c r="A231" s="13"/>
      <c r="B231" s="68"/>
      <c r="C231" s="13"/>
      <c r="D231" s="69"/>
      <c r="E231" s="69"/>
      <c r="F231" s="70"/>
      <c r="G231" s="70"/>
      <c r="H231" s="2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ht="15.75" customHeight="1">
      <c r="A232" s="13"/>
      <c r="B232" s="68"/>
      <c r="C232" s="13"/>
      <c r="D232" s="69"/>
      <c r="E232" s="69"/>
      <c r="F232" s="70"/>
      <c r="G232" s="70"/>
      <c r="H232" s="2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ht="15.75" customHeight="1">
      <c r="A233" s="13"/>
      <c r="B233" s="68"/>
      <c r="C233" s="13"/>
      <c r="D233" s="69"/>
      <c r="E233" s="69"/>
      <c r="F233" s="70"/>
      <c r="G233" s="70"/>
      <c r="H233" s="2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15.75" customHeight="1">
      <c r="A234" s="13"/>
      <c r="B234" s="68"/>
      <c r="C234" s="13"/>
      <c r="D234" s="69"/>
      <c r="E234" s="69"/>
      <c r="F234" s="70"/>
      <c r="G234" s="70"/>
      <c r="H234" s="2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15.75" customHeight="1">
      <c r="A235" s="13"/>
      <c r="B235" s="68"/>
      <c r="C235" s="13"/>
      <c r="D235" s="69"/>
      <c r="E235" s="69"/>
      <c r="F235" s="70"/>
      <c r="G235" s="70"/>
      <c r="H235" s="2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ht="15.75" customHeight="1">
      <c r="A236" s="13"/>
      <c r="B236" s="68"/>
      <c r="C236" s="13"/>
      <c r="D236" s="69"/>
      <c r="E236" s="69"/>
      <c r="F236" s="70"/>
      <c r="G236" s="70"/>
      <c r="H236" s="2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ht="15.75" customHeight="1">
      <c r="A237" s="13"/>
      <c r="B237" s="68"/>
      <c r="C237" s="13"/>
      <c r="D237" s="69"/>
      <c r="E237" s="69"/>
      <c r="F237" s="70"/>
      <c r="G237" s="70"/>
      <c r="H237" s="2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ht="15.75" customHeight="1">
      <c r="A238" s="13"/>
      <c r="B238" s="68"/>
      <c r="C238" s="13"/>
      <c r="D238" s="69"/>
      <c r="E238" s="69"/>
      <c r="F238" s="70"/>
      <c r="G238" s="70"/>
      <c r="H238" s="2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ht="15.75" customHeight="1">
      <c r="A239" s="13"/>
      <c r="B239" s="68"/>
      <c r="C239" s="13"/>
      <c r="D239" s="69"/>
      <c r="E239" s="69"/>
      <c r="F239" s="70"/>
      <c r="G239" s="70"/>
      <c r="H239" s="2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15.75" customHeight="1">
      <c r="A240" s="13"/>
      <c r="B240" s="68"/>
      <c r="C240" s="13"/>
      <c r="D240" s="69"/>
      <c r="E240" s="69"/>
      <c r="F240" s="70"/>
      <c r="G240" s="70"/>
      <c r="H240" s="2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15.75" customHeight="1">
      <c r="A241" s="13"/>
      <c r="B241" s="68"/>
      <c r="C241" s="13"/>
      <c r="D241" s="69"/>
      <c r="E241" s="69"/>
      <c r="F241" s="70"/>
      <c r="G241" s="70"/>
      <c r="H241" s="2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</row>
  </sheetData>
  <mergeCells count="1">
    <mergeCell ref="C41:H41"/>
  </mergeCells>
  <conditionalFormatting sqref="A1:A999">
    <cfRule type="containsText" dxfId="0" priority="1" operator="containsText" text="Power">
      <formula>NOT(ISERROR(SEARCH(("Power"),(A1))))</formula>
    </cfRule>
  </conditionalFormatting>
  <conditionalFormatting sqref="A1:A999">
    <cfRule type="containsText" dxfId="1" priority="2" operator="containsText" text="Vision">
      <formula>NOT(ISERROR(SEARCH(("Vision"),(A1))))</formula>
    </cfRule>
  </conditionalFormatting>
  <conditionalFormatting sqref="A1:A999">
    <cfRule type="containsText" dxfId="2" priority="3" operator="containsText" text="Audio">
      <formula>NOT(ISERROR(SEARCH(("Audio"),(A1))))</formula>
    </cfRule>
  </conditionalFormatting>
  <conditionalFormatting sqref="A1:A999">
    <cfRule type="containsText" dxfId="3" priority="4" operator="containsText" text="Processing">
      <formula>NOT(ISERROR(SEARCH(("Processing"),(A1))))</formula>
    </cfRule>
  </conditionalFormatting>
  <conditionalFormatting sqref="A1:A999">
    <cfRule type="containsText" dxfId="4" priority="5" operator="containsText" text="Conn">
      <formula>NOT(ISERROR(SEARCH(("Conn"),(A1))))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8"/>
  </hyperlinks>
  <printOptions gridLines="1" horizontalCentered="1"/>
  <pageMargins bottom="0.75" footer="0.0" header="0.0" left="0.7" right="0.7" top="0.75"/>
  <pageSetup fitToHeight="0" orientation="landscape" pageOrder="overThenDown"/>
  <drawing r:id="rId37"/>
</worksheet>
</file>